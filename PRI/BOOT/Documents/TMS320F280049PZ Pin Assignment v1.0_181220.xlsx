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0260" windowHeight="7920" tabRatio="722" activeTab="7"/>
  </bookViews>
  <sheets>
    <sheet name="Find Peripheral" sheetId="5" r:id="rId1"/>
    <sheet name="Summary" sheetId="4" r:id="rId2"/>
    <sheet name="Assign" sheetId="6" r:id="rId3"/>
    <sheet name="ADC" sheetId="7" r:id="rId4"/>
    <sheet name="COMP" sheetId="8" r:id="rId5"/>
    <sheet name="PGA" sheetId="9" r:id="rId6"/>
    <sheet name="DAC" sheetId="10" r:id="rId7"/>
    <sheet name="EPWM" sheetId="11" r:id="rId8"/>
    <sheet name="SCI" sheetId="12" r:id="rId9"/>
    <sheet name="I2C" sheetId="13" r:id="rId10"/>
    <sheet name="PMBUS" sheetId="14" r:id="rId11"/>
    <sheet name="CAN" sheetId="15" r:id="rId12"/>
    <sheet name="SPI" sheetId="16" r:id="rId13"/>
    <sheet name="GPIO" sheetId="17" r:id="rId14"/>
  </sheets>
  <definedNames>
    <definedName name="Name">Summary!$C$2:$C$12</definedName>
  </definedNames>
  <calcPr calcId="125725" concurrentCalc="0"/>
</workbook>
</file>

<file path=xl/calcChain.xml><?xml version="1.0" encoding="utf-8"?>
<calcChain xmlns="http://schemas.openxmlformats.org/spreadsheetml/2006/main">
  <c r="D209" i="6"/>
  <c r="D180"/>
  <c r="D105"/>
  <c r="D81"/>
  <c r="E3"/>
  <c r="D2"/>
  <c r="E2"/>
  <c r="F2"/>
  <c r="F3"/>
  <c r="E4"/>
  <c r="F4"/>
  <c r="D5"/>
  <c r="E5"/>
  <c r="F5"/>
  <c r="E6"/>
  <c r="F6"/>
  <c r="D7"/>
  <c r="E7"/>
  <c r="F7"/>
  <c r="E8"/>
  <c r="F8"/>
  <c r="E9"/>
  <c r="F9"/>
  <c r="D10"/>
  <c r="E10"/>
  <c r="F10"/>
  <c r="E11"/>
  <c r="F11"/>
  <c r="E12"/>
  <c r="F12"/>
  <c r="E13"/>
  <c r="F13"/>
  <c r="E14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D32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D57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D77"/>
  <c r="E77"/>
  <c r="F77"/>
  <c r="E78"/>
  <c r="F78"/>
  <c r="E79"/>
  <c r="F79"/>
  <c r="E80"/>
  <c r="F80"/>
  <c r="E81"/>
  <c r="F81"/>
  <c r="E82"/>
  <c r="F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D129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D141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D159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D250"/>
  <c r="E250"/>
  <c r="F250"/>
  <c r="C3" i="10"/>
  <c r="C4"/>
  <c r="C5"/>
  <c r="C6"/>
  <c r="B2" i="5" a="1"/>
  <c r="B2"/>
  <c r="E251" i="6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C2" i="5" a="1"/>
  <c r="C2"/>
  <c r="B3" a="1"/>
  <c r="B3"/>
  <c r="C3" a="1"/>
  <c r="C3"/>
  <c r="B4" a="1"/>
  <c r="B4"/>
  <c r="C4" a="1"/>
  <c r="C4"/>
  <c r="B5" a="1"/>
  <c r="B5"/>
  <c r="C5" a="1"/>
  <c r="C5"/>
  <c r="B6" a="1"/>
  <c r="B6"/>
  <c r="C6" a="1"/>
  <c r="C6"/>
  <c r="B7" a="1"/>
  <c r="B7"/>
  <c r="C7" a="1"/>
  <c r="C7"/>
  <c r="B8" a="1"/>
  <c r="B8"/>
  <c r="C8" a="1"/>
  <c r="C8"/>
  <c r="B9" a="1"/>
  <c r="B9"/>
  <c r="C9" a="1"/>
  <c r="C9"/>
  <c r="B10" a="1"/>
  <c r="B10"/>
  <c r="C10" a="1"/>
  <c r="C10"/>
  <c r="B11" a="1"/>
  <c r="B11"/>
  <c r="C11" a="1"/>
  <c r="C11"/>
  <c r="B12" a="1"/>
  <c r="B12"/>
  <c r="C12" a="1"/>
  <c r="C12"/>
  <c r="B13" a="1"/>
  <c r="B13"/>
  <c r="C13" a="1"/>
  <c r="C13"/>
  <c r="B14" a="1"/>
  <c r="B14"/>
  <c r="C14" a="1"/>
  <c r="C14"/>
  <c r="B15" a="1"/>
  <c r="B15"/>
  <c r="C15" a="1"/>
  <c r="C15"/>
  <c r="B16" a="1"/>
  <c r="B16"/>
  <c r="C16" a="1"/>
  <c r="C16"/>
  <c r="B17" a="1"/>
  <c r="B17"/>
  <c r="C17" a="1"/>
  <c r="C17"/>
  <c r="B18" a="1"/>
  <c r="B18"/>
  <c r="C18" a="1"/>
  <c r="C18"/>
  <c r="B19" a="1"/>
  <c r="B19"/>
  <c r="C19" a="1"/>
  <c r="C19"/>
  <c r="B20" a="1"/>
  <c r="B20"/>
  <c r="C20" a="1"/>
  <c r="C20"/>
  <c r="B21" a="1"/>
  <c r="B21"/>
  <c r="C21" a="1"/>
  <c r="C21"/>
  <c r="B22" a="1"/>
  <c r="B22"/>
  <c r="C22" a="1"/>
  <c r="C22"/>
  <c r="B23" a="1"/>
  <c r="B23"/>
  <c r="C23" a="1"/>
  <c r="C23"/>
  <c r="B24" a="1"/>
  <c r="B24"/>
  <c r="C24" a="1"/>
  <c r="C24"/>
  <c r="B25" a="1"/>
  <c r="B25"/>
  <c r="C25" a="1"/>
  <c r="C25"/>
  <c r="B26" a="1"/>
  <c r="B26"/>
  <c r="C26" a="1"/>
  <c r="C26"/>
  <c r="B27" a="1"/>
  <c r="B27"/>
  <c r="C27" a="1"/>
  <c r="C27"/>
  <c r="B28" a="1"/>
  <c r="B28"/>
  <c r="C28" a="1"/>
  <c r="C28"/>
  <c r="B29" a="1"/>
  <c r="B29"/>
  <c r="C29" a="1"/>
  <c r="C29"/>
  <c r="B30" a="1"/>
  <c r="B30"/>
  <c r="C30" a="1"/>
  <c r="C30"/>
  <c r="B31" a="1"/>
  <c r="B31"/>
  <c r="C31" a="1"/>
  <c r="C31"/>
  <c r="B32" a="1"/>
  <c r="B32"/>
  <c r="C32" a="1"/>
  <c r="C32"/>
  <c r="B33" a="1"/>
  <c r="B33"/>
  <c r="C33" a="1"/>
  <c r="C33"/>
  <c r="B34" a="1"/>
  <c r="B34"/>
  <c r="C34" a="1"/>
  <c r="C34"/>
  <c r="B35" a="1"/>
  <c r="B35"/>
  <c r="C35" a="1"/>
  <c r="C35"/>
  <c r="B36" a="1"/>
  <c r="B36"/>
  <c r="C36" a="1"/>
  <c r="C36"/>
  <c r="B37" a="1"/>
  <c r="B37"/>
  <c r="C37" a="1"/>
  <c r="C37"/>
  <c r="B38" a="1"/>
  <c r="B38"/>
  <c r="C38" a="1"/>
  <c r="C38"/>
  <c r="B39" a="1"/>
  <c r="B39"/>
  <c r="C39" a="1"/>
  <c r="C39"/>
  <c r="B40" a="1"/>
  <c r="B40"/>
  <c r="C40" a="1"/>
  <c r="C40"/>
  <c r="B41" a="1"/>
  <c r="B41"/>
  <c r="C41" a="1"/>
  <c r="C41"/>
  <c r="B42" a="1"/>
  <c r="B42"/>
  <c r="C42" a="1"/>
  <c r="C42"/>
  <c r="B43" a="1"/>
  <c r="B43"/>
  <c r="C43" a="1"/>
  <c r="C43"/>
  <c r="B44" a="1"/>
  <c r="B44"/>
  <c r="C44" a="1"/>
  <c r="C44"/>
  <c r="B45" a="1"/>
  <c r="B45"/>
  <c r="C45" a="1"/>
  <c r="C45"/>
  <c r="B46" a="1"/>
  <c r="B46"/>
  <c r="C46" a="1"/>
  <c r="C46"/>
  <c r="B47" a="1"/>
  <c r="B47"/>
  <c r="C47" a="1"/>
  <c r="C47"/>
  <c r="B48" a="1"/>
  <c r="B48"/>
  <c r="C48" a="1"/>
  <c r="C48"/>
  <c r="B49" a="1"/>
  <c r="B49"/>
  <c r="C49" a="1"/>
  <c r="C49"/>
  <c r="B50" a="1"/>
  <c r="B50"/>
  <c r="C50" a="1"/>
  <c r="C50"/>
  <c r="B51" a="1"/>
  <c r="B51"/>
  <c r="C51" a="1"/>
  <c r="C51"/>
  <c r="B52" a="1"/>
  <c r="B52"/>
  <c r="C52" a="1"/>
  <c r="C52"/>
  <c r="B53" a="1"/>
  <c r="B53"/>
  <c r="C53" a="1"/>
  <c r="C53"/>
  <c r="B54" a="1"/>
  <c r="B54"/>
  <c r="C54" a="1"/>
  <c r="C54"/>
  <c r="B55" a="1"/>
  <c r="B55"/>
  <c r="C55" a="1"/>
  <c r="C55"/>
  <c r="B56" a="1"/>
  <c r="B56"/>
  <c r="C56" a="1"/>
  <c r="C56"/>
  <c r="B57" a="1"/>
  <c r="B57"/>
  <c r="C57" a="1"/>
  <c r="C57"/>
  <c r="B58" a="1"/>
  <c r="B58"/>
  <c r="C58" a="1"/>
  <c r="C58"/>
  <c r="B59" a="1"/>
  <c r="B59"/>
  <c r="C59" a="1"/>
  <c r="C59"/>
  <c r="B60" a="1"/>
  <c r="B60"/>
  <c r="C60" a="1"/>
  <c r="C60"/>
  <c r="B61" a="1"/>
  <c r="B61"/>
  <c r="C61" a="1"/>
  <c r="C61"/>
  <c r="B62" a="1"/>
  <c r="B62"/>
  <c r="C62" a="1"/>
  <c r="C62"/>
  <c r="B63" a="1"/>
  <c r="B63"/>
  <c r="C63" a="1"/>
  <c r="C63"/>
  <c r="B64" a="1"/>
  <c r="B64"/>
  <c r="C64" a="1"/>
  <c r="C64"/>
  <c r="B65" a="1"/>
  <c r="B65"/>
  <c r="C65" a="1"/>
  <c r="C65"/>
  <c r="B66" a="1"/>
  <c r="B66"/>
  <c r="C66" a="1"/>
  <c r="C66"/>
  <c r="B67" a="1"/>
  <c r="B67"/>
  <c r="C67" a="1"/>
  <c r="C67"/>
  <c r="B68" a="1"/>
  <c r="B68"/>
  <c r="C68" a="1"/>
  <c r="C68"/>
  <c r="B69" a="1"/>
  <c r="B69"/>
  <c r="C69" a="1"/>
  <c r="C69"/>
  <c r="B70" a="1"/>
  <c r="B70"/>
  <c r="C70" a="1"/>
  <c r="C70"/>
  <c r="B71" a="1"/>
  <c r="B71"/>
  <c r="C71" a="1"/>
  <c r="C71"/>
  <c r="B72" a="1"/>
  <c r="B72"/>
  <c r="C72" a="1"/>
  <c r="C72"/>
  <c r="B73" a="1"/>
  <c r="B73"/>
  <c r="C73" a="1"/>
  <c r="C73"/>
  <c r="B74" a="1"/>
  <c r="B74"/>
  <c r="C74" a="1"/>
  <c r="C74"/>
  <c r="B75" a="1"/>
  <c r="B75"/>
  <c r="C75" a="1"/>
  <c r="C75"/>
  <c r="B76" a="1"/>
  <c r="B76"/>
  <c r="C76" a="1"/>
  <c r="C76"/>
  <c r="B77" a="1"/>
  <c r="B77"/>
  <c r="C77" a="1"/>
  <c r="C77"/>
  <c r="B78" a="1"/>
  <c r="B78"/>
  <c r="C78" a="1"/>
  <c r="C78"/>
  <c r="C89" i="7"/>
  <c r="D10" i="4"/>
  <c r="D16"/>
  <c r="D20"/>
  <c r="D24"/>
  <c r="D32"/>
  <c r="D38"/>
  <c r="D42"/>
  <c r="D51"/>
  <c r="D55"/>
  <c r="D59"/>
  <c r="D65"/>
  <c r="D69"/>
  <c r="D78"/>
  <c r="D84"/>
  <c r="D91"/>
  <c r="D95"/>
  <c r="D99"/>
  <c r="D9"/>
  <c r="D19"/>
  <c r="D31"/>
  <c r="D41"/>
  <c r="D54"/>
  <c r="D64"/>
  <c r="D77"/>
  <c r="D90"/>
  <c r="D98"/>
  <c r="D14"/>
  <c r="D22"/>
  <c r="D36"/>
  <c r="D44"/>
  <c r="D57"/>
  <c r="D67"/>
  <c r="D80"/>
  <c r="D93"/>
  <c r="D101"/>
  <c r="D7"/>
  <c r="D11"/>
  <c r="D17"/>
  <c r="D21"/>
  <c r="D29"/>
  <c r="D33"/>
  <c r="D39"/>
  <c r="D43"/>
  <c r="D52"/>
  <c r="D56"/>
  <c r="D60"/>
  <c r="D66"/>
  <c r="D75"/>
  <c r="D79"/>
  <c r="D85"/>
  <c r="D92"/>
  <c r="D96"/>
  <c r="D100"/>
  <c r="D15"/>
  <c r="D23"/>
  <c r="D37"/>
  <c r="D45"/>
  <c r="D58"/>
  <c r="D68"/>
  <c r="D82"/>
  <c r="D94"/>
  <c r="D8"/>
  <c r="D18"/>
  <c r="D30"/>
  <c r="D40"/>
  <c r="D53"/>
  <c r="D62"/>
  <c r="D76"/>
  <c r="D86"/>
  <c r="D97"/>
  <c r="D2"/>
  <c r="D70" i="7"/>
  <c r="C88"/>
  <c r="C86"/>
  <c r="D90"/>
  <c r="D96"/>
  <c r="D86"/>
  <c r="D66"/>
  <c r="C80"/>
  <c r="C78"/>
  <c r="D88"/>
  <c r="D82"/>
  <c r="C96"/>
  <c r="C68"/>
  <c r="C70"/>
  <c r="D80"/>
  <c r="D98"/>
  <c r="D74"/>
  <c r="C92"/>
  <c r="C94"/>
  <c r="C72"/>
  <c r="C93"/>
  <c r="D94"/>
  <c r="D78"/>
  <c r="C100"/>
  <c r="C84"/>
  <c r="C98"/>
  <c r="C82"/>
  <c r="C66"/>
  <c r="D92"/>
  <c r="C101"/>
  <c r="C76"/>
  <c r="C90"/>
  <c r="C74"/>
  <c r="D100"/>
  <c r="D84"/>
  <c r="D97"/>
  <c r="D76"/>
  <c r="C99"/>
  <c r="C85"/>
  <c r="D89"/>
  <c r="D72"/>
  <c r="C97"/>
  <c r="C77"/>
  <c r="D81"/>
  <c r="D68"/>
  <c r="C95"/>
  <c r="C69"/>
  <c r="D73"/>
  <c r="C91"/>
  <c r="C83"/>
  <c r="C75"/>
  <c r="C67"/>
  <c r="D95"/>
  <c r="D87"/>
  <c r="D79"/>
  <c r="D71"/>
  <c r="C81"/>
  <c r="C73"/>
  <c r="D101"/>
  <c r="D93"/>
  <c r="D85"/>
  <c r="D77"/>
  <c r="D69"/>
  <c r="C87"/>
  <c r="C79"/>
  <c r="C71"/>
  <c r="D99"/>
  <c r="D91"/>
  <c r="D83"/>
  <c r="D75"/>
  <c r="D67"/>
  <c r="C79" i="11"/>
  <c r="D35" i="16"/>
  <c r="C70" i="12"/>
  <c r="C67" i="9"/>
  <c r="D9" i="10"/>
  <c r="C3" i="16"/>
  <c r="D4"/>
  <c r="C34"/>
  <c r="C35"/>
  <c r="D36"/>
  <c r="C50"/>
  <c r="D51"/>
  <c r="D34"/>
  <c r="C37"/>
  <c r="C18"/>
  <c r="D19"/>
  <c r="D95" i="9"/>
  <c r="D2" i="16"/>
  <c r="C5"/>
  <c r="C2"/>
  <c r="D3"/>
  <c r="D28" i="12"/>
  <c r="C30"/>
  <c r="C46"/>
  <c r="D26"/>
  <c r="D31"/>
  <c r="C27"/>
  <c r="C61"/>
  <c r="C14"/>
  <c r="D58"/>
  <c r="C29"/>
  <c r="D47"/>
  <c r="D98" i="9"/>
  <c r="D72"/>
  <c r="C94"/>
  <c r="C86"/>
  <c r="C101"/>
  <c r="D78"/>
  <c r="C84"/>
  <c r="C89"/>
  <c r="D66"/>
  <c r="C68"/>
  <c r="C83"/>
  <c r="C96"/>
  <c r="C70"/>
  <c r="D92"/>
  <c r="C99"/>
  <c r="C77"/>
  <c r="D87"/>
  <c r="D13" i="12"/>
  <c r="D90" i="9"/>
  <c r="C98"/>
  <c r="C66"/>
  <c r="D88"/>
  <c r="C91"/>
  <c r="C73"/>
  <c r="D85"/>
  <c r="C98" i="8"/>
  <c r="C69" i="9"/>
  <c r="D73"/>
  <c r="D66" i="8"/>
  <c r="D96"/>
  <c r="C80"/>
  <c r="D80"/>
  <c r="C59" i="12"/>
  <c r="D60"/>
  <c r="C62"/>
  <c r="D63"/>
  <c r="D82" i="9"/>
  <c r="C88"/>
  <c r="C78"/>
  <c r="C76"/>
  <c r="D80"/>
  <c r="C93"/>
  <c r="C81"/>
  <c r="D97"/>
  <c r="D77"/>
  <c r="D98" i="8"/>
  <c r="C66"/>
  <c r="C100" i="11"/>
  <c r="C51" i="16"/>
  <c r="D50"/>
  <c r="D52"/>
  <c r="C53"/>
  <c r="C58"/>
  <c r="C26"/>
  <c r="D59"/>
  <c r="D27"/>
  <c r="C7" i="12"/>
  <c r="D6"/>
  <c r="D8"/>
  <c r="C9"/>
  <c r="C36"/>
  <c r="C4"/>
  <c r="D37"/>
  <c r="D92"/>
  <c r="C19" i="16"/>
  <c r="D18"/>
  <c r="D20"/>
  <c r="C21"/>
  <c r="C42"/>
  <c r="C10"/>
  <c r="D43"/>
  <c r="D11"/>
  <c r="C39" i="12"/>
  <c r="D38"/>
  <c r="D40"/>
  <c r="C41"/>
  <c r="C52"/>
  <c r="C20"/>
  <c r="D53"/>
  <c r="D21"/>
  <c r="C84" i="11"/>
  <c r="D92"/>
  <c r="C73"/>
  <c r="C89"/>
  <c r="D70"/>
  <c r="C87"/>
  <c r="C66"/>
  <c r="C91"/>
  <c r="D80"/>
  <c r="C67"/>
  <c r="C55" i="12"/>
  <c r="C23"/>
  <c r="D54"/>
  <c r="D22"/>
  <c r="D56"/>
  <c r="D24"/>
  <c r="C57"/>
  <c r="C25"/>
  <c r="C60"/>
  <c r="C44"/>
  <c r="C28"/>
  <c r="C12"/>
  <c r="D61"/>
  <c r="D45"/>
  <c r="D29"/>
  <c r="D7"/>
  <c r="C97" i="11"/>
  <c r="D86"/>
  <c r="D78"/>
  <c r="C68"/>
  <c r="C82"/>
  <c r="C99"/>
  <c r="D88"/>
  <c r="C78"/>
  <c r="D100"/>
  <c r="C81"/>
  <c r="C71"/>
  <c r="C94"/>
  <c r="C83"/>
  <c r="C70"/>
  <c r="C43" i="12"/>
  <c r="C11"/>
  <c r="D42"/>
  <c r="D10"/>
  <c r="D44"/>
  <c r="D12"/>
  <c r="C45"/>
  <c r="C13"/>
  <c r="C54"/>
  <c r="C38"/>
  <c r="C22"/>
  <c r="C6"/>
  <c r="D55"/>
  <c r="D39"/>
  <c r="D23"/>
  <c r="D5"/>
  <c r="D94" i="11"/>
  <c r="C76"/>
  <c r="C92"/>
  <c r="C98"/>
  <c r="D76"/>
  <c r="D96"/>
  <c r="C86"/>
  <c r="C75"/>
  <c r="D97"/>
  <c r="D74" i="16"/>
  <c r="D72" i="11"/>
  <c r="C101"/>
  <c r="C85" i="12"/>
  <c r="C100"/>
  <c r="C70" i="16"/>
  <c r="C86" i="12"/>
  <c r="D95"/>
  <c r="D92" i="16"/>
  <c r="C95" i="11"/>
  <c r="D90"/>
  <c r="D89"/>
  <c r="D84"/>
  <c r="C80"/>
  <c r="D81"/>
  <c r="C101" i="12"/>
  <c r="C71"/>
  <c r="D90" i="16"/>
  <c r="C74" i="11"/>
  <c r="C69"/>
  <c r="D73"/>
  <c r="D93" i="9"/>
  <c r="D81"/>
  <c r="D71"/>
  <c r="D90" i="12"/>
  <c r="D74"/>
  <c r="D80"/>
  <c r="C90"/>
  <c r="D68"/>
  <c r="C89"/>
  <c r="D87"/>
  <c r="D98" i="10"/>
  <c r="C77"/>
  <c r="C75"/>
  <c r="D84"/>
  <c r="C94"/>
  <c r="C92"/>
  <c r="D68"/>
  <c r="D95"/>
  <c r="D79"/>
  <c r="D15" i="12"/>
  <c r="D94" i="9"/>
  <c r="D74"/>
  <c r="C72"/>
  <c r="C82"/>
  <c r="C100"/>
  <c r="D96"/>
  <c r="D76"/>
  <c r="C97"/>
  <c r="C85"/>
  <c r="C75"/>
  <c r="D101"/>
  <c r="D89"/>
  <c r="D79"/>
  <c r="D69"/>
  <c r="C93" i="12"/>
  <c r="C77"/>
  <c r="C67"/>
  <c r="C82"/>
  <c r="C94"/>
  <c r="D78"/>
  <c r="D79"/>
  <c r="D82" i="8"/>
  <c r="C82"/>
  <c r="C101"/>
  <c r="C96" i="10"/>
  <c r="D74"/>
  <c r="C68"/>
  <c r="C82"/>
  <c r="D88"/>
  <c r="C89"/>
  <c r="C73"/>
  <c r="D93"/>
  <c r="D77"/>
  <c r="D82" i="16"/>
  <c r="C82"/>
  <c r="D98" i="11"/>
  <c r="C88"/>
  <c r="C77"/>
  <c r="D66"/>
  <c r="D95"/>
  <c r="D87"/>
  <c r="D79"/>
  <c r="D71"/>
  <c r="D82" i="12"/>
  <c r="D66"/>
  <c r="D100"/>
  <c r="C79"/>
  <c r="D88"/>
  <c r="C68"/>
  <c r="D71"/>
  <c r="C88" i="10"/>
  <c r="D96"/>
  <c r="C95"/>
  <c r="C74"/>
  <c r="C72"/>
  <c r="C81"/>
  <c r="C67"/>
  <c r="D87"/>
  <c r="D71"/>
  <c r="C88" i="16"/>
  <c r="D88"/>
  <c r="C71"/>
  <c r="C96" i="11"/>
  <c r="C85"/>
  <c r="D74"/>
  <c r="D101"/>
  <c r="D93"/>
  <c r="D85"/>
  <c r="D77"/>
  <c r="D69"/>
  <c r="C85" i="10"/>
  <c r="C91"/>
  <c r="D92"/>
  <c r="C70"/>
  <c r="C100"/>
  <c r="D78"/>
  <c r="D101"/>
  <c r="D85"/>
  <c r="D69"/>
  <c r="C90" i="11"/>
  <c r="D68"/>
  <c r="C93"/>
  <c r="D82"/>
  <c r="C72"/>
  <c r="D99"/>
  <c r="D91"/>
  <c r="D83"/>
  <c r="D75"/>
  <c r="D67"/>
  <c r="C55" i="16"/>
  <c r="C23"/>
  <c r="D54"/>
  <c r="D22"/>
  <c r="D56"/>
  <c r="D24"/>
  <c r="C57"/>
  <c r="C25"/>
  <c r="C60"/>
  <c r="C44"/>
  <c r="C28"/>
  <c r="C12"/>
  <c r="D61"/>
  <c r="D53"/>
  <c r="D37"/>
  <c r="D21"/>
  <c r="D5"/>
  <c r="C92" i="12"/>
  <c r="C81"/>
  <c r="D70"/>
  <c r="D97"/>
  <c r="D89"/>
  <c r="D81"/>
  <c r="D73"/>
  <c r="D86" i="8"/>
  <c r="C88"/>
  <c r="C86"/>
  <c r="D100"/>
  <c r="D68"/>
  <c r="C87"/>
  <c r="C71"/>
  <c r="D91"/>
  <c r="D75"/>
  <c r="C85" i="16"/>
  <c r="C93"/>
  <c r="D72"/>
  <c r="D84"/>
  <c r="D96"/>
  <c r="D94"/>
  <c r="C73"/>
  <c r="D91"/>
  <c r="D83"/>
  <c r="D67"/>
  <c r="C59"/>
  <c r="C27"/>
  <c r="D58"/>
  <c r="D42"/>
  <c r="D10"/>
  <c r="D44"/>
  <c r="D12"/>
  <c r="C45"/>
  <c r="C13"/>
  <c r="C54"/>
  <c r="C38"/>
  <c r="C22"/>
  <c r="C6"/>
  <c r="D55"/>
  <c r="D47"/>
  <c r="D31"/>
  <c r="D23"/>
  <c r="D7"/>
  <c r="C47" i="12"/>
  <c r="C15"/>
  <c r="D46"/>
  <c r="D14"/>
  <c r="D48"/>
  <c r="D16"/>
  <c r="C49"/>
  <c r="C17"/>
  <c r="C64"/>
  <c r="C48"/>
  <c r="C32"/>
  <c r="C16"/>
  <c r="D57"/>
  <c r="C63" i="16"/>
  <c r="C47"/>
  <c r="C31"/>
  <c r="C15"/>
  <c r="D62"/>
  <c r="D46"/>
  <c r="D30"/>
  <c r="D14"/>
  <c r="D64"/>
  <c r="D48"/>
  <c r="D32"/>
  <c r="D16"/>
  <c r="C65"/>
  <c r="C49"/>
  <c r="C33"/>
  <c r="C17"/>
  <c r="C64"/>
  <c r="C56"/>
  <c r="C48"/>
  <c r="C40"/>
  <c r="C32"/>
  <c r="C24"/>
  <c r="C16"/>
  <c r="C8"/>
  <c r="D65"/>
  <c r="D57"/>
  <c r="D49"/>
  <c r="D41"/>
  <c r="D33"/>
  <c r="D25"/>
  <c r="D17"/>
  <c r="D9"/>
  <c r="C51" i="12"/>
  <c r="C35"/>
  <c r="C19"/>
  <c r="C3"/>
  <c r="D50"/>
  <c r="D34"/>
  <c r="D18"/>
  <c r="D2"/>
  <c r="D52"/>
  <c r="D36"/>
  <c r="D20"/>
  <c r="D4"/>
  <c r="C53"/>
  <c r="C37"/>
  <c r="C21"/>
  <c r="C5"/>
  <c r="C58"/>
  <c r="C50"/>
  <c r="C42"/>
  <c r="C34"/>
  <c r="C26"/>
  <c r="C18"/>
  <c r="C10"/>
  <c r="C2"/>
  <c r="D59"/>
  <c r="D51"/>
  <c r="D43"/>
  <c r="D35"/>
  <c r="D27"/>
  <c r="D19"/>
  <c r="D11"/>
  <c r="D3"/>
  <c r="D86" i="9"/>
  <c r="D70"/>
  <c r="C80"/>
  <c r="C90"/>
  <c r="C74"/>
  <c r="C92"/>
  <c r="D100"/>
  <c r="D84"/>
  <c r="D68"/>
  <c r="C95"/>
  <c r="C87"/>
  <c r="C79"/>
  <c r="C71"/>
  <c r="D99"/>
  <c r="D91"/>
  <c r="D83"/>
  <c r="D75"/>
  <c r="D67"/>
  <c r="C80" i="12"/>
  <c r="C72"/>
  <c r="D98"/>
  <c r="D96"/>
  <c r="C75"/>
  <c r="C98"/>
  <c r="C87"/>
  <c r="D76"/>
  <c r="C66"/>
  <c r="C83"/>
  <c r="C97"/>
  <c r="D86"/>
  <c r="C76"/>
  <c r="D101"/>
  <c r="D93"/>
  <c r="D85"/>
  <c r="D77"/>
  <c r="D69"/>
  <c r="D94" i="8"/>
  <c r="D78"/>
  <c r="C100"/>
  <c r="C76"/>
  <c r="C94"/>
  <c r="C78"/>
  <c r="C96"/>
  <c r="D92"/>
  <c r="D76"/>
  <c r="C99"/>
  <c r="C91"/>
  <c r="C83"/>
  <c r="C75"/>
  <c r="C67"/>
  <c r="D95"/>
  <c r="D87"/>
  <c r="D79"/>
  <c r="D71"/>
  <c r="C93" i="10"/>
  <c r="D82"/>
  <c r="D70"/>
  <c r="C86"/>
  <c r="D100"/>
  <c r="C90"/>
  <c r="C79"/>
  <c r="C66"/>
  <c r="C83"/>
  <c r="C97"/>
  <c r="D86"/>
  <c r="C76"/>
  <c r="C71"/>
  <c r="D99"/>
  <c r="D91"/>
  <c r="D83"/>
  <c r="D75"/>
  <c r="D67"/>
  <c r="D66" i="16"/>
  <c r="D98"/>
  <c r="C80"/>
  <c r="C72"/>
  <c r="C83"/>
  <c r="D100"/>
  <c r="C90"/>
  <c r="C79"/>
  <c r="D68"/>
  <c r="C86"/>
  <c r="C100"/>
  <c r="C89"/>
  <c r="D78"/>
  <c r="C68"/>
  <c r="D95"/>
  <c r="D87"/>
  <c r="D79"/>
  <c r="D71"/>
  <c r="C93" i="8"/>
  <c r="C85"/>
  <c r="C77"/>
  <c r="C69"/>
  <c r="D97"/>
  <c r="D89"/>
  <c r="D81"/>
  <c r="D73"/>
  <c r="C91" i="16"/>
  <c r="C67"/>
  <c r="C92"/>
  <c r="C81"/>
  <c r="D70"/>
  <c r="D97"/>
  <c r="D89"/>
  <c r="D81"/>
  <c r="D73"/>
  <c r="C39"/>
  <c r="C7"/>
  <c r="D38"/>
  <c r="D6"/>
  <c r="D40"/>
  <c r="D8"/>
  <c r="C41"/>
  <c r="C9"/>
  <c r="C52"/>
  <c r="C36"/>
  <c r="C20"/>
  <c r="C4"/>
  <c r="D45"/>
  <c r="D29"/>
  <c r="D13"/>
  <c r="D70" i="8"/>
  <c r="C68"/>
  <c r="C70"/>
  <c r="D84"/>
  <c r="C95"/>
  <c r="C79"/>
  <c r="D99"/>
  <c r="D83"/>
  <c r="D67"/>
  <c r="C101" i="16"/>
  <c r="C94"/>
  <c r="C95"/>
  <c r="C74"/>
  <c r="C75"/>
  <c r="C84"/>
  <c r="D99"/>
  <c r="D75"/>
  <c r="C43"/>
  <c r="C11"/>
  <c r="D26"/>
  <c r="D60"/>
  <c r="D28"/>
  <c r="C61"/>
  <c r="C29"/>
  <c r="C62"/>
  <c r="C46"/>
  <c r="C30"/>
  <c r="C14"/>
  <c r="D63"/>
  <c r="D39"/>
  <c r="D15"/>
  <c r="C63" i="12"/>
  <c r="C31"/>
  <c r="D62"/>
  <c r="D30"/>
  <c r="D64"/>
  <c r="D32"/>
  <c r="C65"/>
  <c r="C33"/>
  <c r="C56"/>
  <c r="C40"/>
  <c r="C24"/>
  <c r="C8"/>
  <c r="D65"/>
  <c r="D49"/>
  <c r="D41"/>
  <c r="D33"/>
  <c r="D25"/>
  <c r="D17"/>
  <c r="D9"/>
  <c r="D41" i="8"/>
  <c r="C69" i="12"/>
  <c r="C96"/>
  <c r="C88"/>
  <c r="C91"/>
  <c r="D72"/>
  <c r="C95"/>
  <c r="D84"/>
  <c r="C74"/>
  <c r="C99"/>
  <c r="C78"/>
  <c r="D94"/>
  <c r="C84"/>
  <c r="C73"/>
  <c r="D99"/>
  <c r="D91"/>
  <c r="D83"/>
  <c r="D75"/>
  <c r="D67"/>
  <c r="D90" i="8"/>
  <c r="D74"/>
  <c r="C92"/>
  <c r="C72"/>
  <c r="C90"/>
  <c r="C74"/>
  <c r="C84"/>
  <c r="D88"/>
  <c r="D72"/>
  <c r="C97"/>
  <c r="C89"/>
  <c r="C81"/>
  <c r="C73"/>
  <c r="D101"/>
  <c r="D93"/>
  <c r="D85"/>
  <c r="D77"/>
  <c r="D69"/>
  <c r="C101" i="10"/>
  <c r="D90"/>
  <c r="C80"/>
  <c r="D66"/>
  <c r="D80"/>
  <c r="C98"/>
  <c r="C87"/>
  <c r="D76"/>
  <c r="C99"/>
  <c r="C78"/>
  <c r="D94"/>
  <c r="C84"/>
  <c r="D72"/>
  <c r="C69"/>
  <c r="D97"/>
  <c r="D89"/>
  <c r="D81"/>
  <c r="D73"/>
  <c r="C96" i="16"/>
  <c r="C77"/>
  <c r="C69"/>
  <c r="C99"/>
  <c r="C78"/>
  <c r="C98"/>
  <c r="C87"/>
  <c r="D76"/>
  <c r="C66"/>
  <c r="D80"/>
  <c r="C97"/>
  <c r="D86"/>
  <c r="C76"/>
  <c r="D101"/>
  <c r="D93"/>
  <c r="D85"/>
  <c r="D77"/>
  <c r="D69"/>
  <c r="D8" i="7"/>
  <c r="C55"/>
  <c r="C30"/>
  <c r="C7" i="11"/>
  <c r="D20"/>
  <c r="C50"/>
  <c r="D59"/>
  <c r="C55"/>
  <c r="C21"/>
  <c r="D27"/>
  <c r="C17" i="10"/>
  <c r="D54" i="7"/>
  <c r="C9"/>
  <c r="D62" i="11"/>
  <c r="D16"/>
  <c r="C48"/>
  <c r="D53"/>
  <c r="D6"/>
  <c r="C18"/>
  <c r="C63"/>
  <c r="D14"/>
  <c r="C33"/>
  <c r="C20"/>
  <c r="D29"/>
  <c r="C31"/>
  <c r="D34"/>
  <c r="D40"/>
  <c r="C53"/>
  <c r="C60"/>
  <c r="C32"/>
  <c r="C4"/>
  <c r="D41"/>
  <c r="D11"/>
  <c r="C35"/>
  <c r="D38"/>
  <c r="D52"/>
  <c r="C57"/>
  <c r="C64"/>
  <c r="C36"/>
  <c r="C8"/>
  <c r="D43"/>
  <c r="D17"/>
  <c r="D24" i="7"/>
  <c r="C46"/>
  <c r="C6"/>
  <c r="C25"/>
  <c r="D31"/>
  <c r="D30"/>
  <c r="C54"/>
  <c r="C8"/>
  <c r="C31"/>
  <c r="D47"/>
  <c r="D46"/>
  <c r="D6"/>
  <c r="C24"/>
  <c r="C47"/>
  <c r="C7"/>
  <c r="C8" i="8"/>
  <c r="C40"/>
  <c r="D16" i="10"/>
  <c r="D41"/>
  <c r="D14"/>
  <c r="C8"/>
  <c r="D8" i="8"/>
  <c r="C9"/>
  <c r="D56" i="7"/>
  <c r="D38"/>
  <c r="D14"/>
  <c r="C56"/>
  <c r="C38"/>
  <c r="C14"/>
  <c r="C57"/>
  <c r="C39"/>
  <c r="C15"/>
  <c r="D55"/>
  <c r="D15"/>
  <c r="C39" i="11"/>
  <c r="C15"/>
  <c r="D50"/>
  <c r="D18"/>
  <c r="D56"/>
  <c r="D32"/>
  <c r="C65"/>
  <c r="C37"/>
  <c r="C9"/>
  <c r="C52"/>
  <c r="C40"/>
  <c r="C26"/>
  <c r="C10"/>
  <c r="D61"/>
  <c r="D49"/>
  <c r="D33"/>
  <c r="D19"/>
  <c r="D5"/>
  <c r="C15" i="10"/>
  <c r="C40"/>
  <c r="D40" i="8"/>
  <c r="C41"/>
  <c r="D62" i="7"/>
  <c r="D40"/>
  <c r="D22"/>
  <c r="C62"/>
  <c r="C40"/>
  <c r="C22"/>
  <c r="C63"/>
  <c r="C41"/>
  <c r="C23"/>
  <c r="D63"/>
  <c r="D23"/>
  <c r="C51" i="11"/>
  <c r="C19"/>
  <c r="D54"/>
  <c r="D30"/>
  <c r="D64"/>
  <c r="D36"/>
  <c r="D8"/>
  <c r="C41"/>
  <c r="C17"/>
  <c r="C58"/>
  <c r="C42"/>
  <c r="C28"/>
  <c r="C16"/>
  <c r="D65"/>
  <c r="D51"/>
  <c r="D37"/>
  <c r="D21"/>
  <c r="D9"/>
  <c r="C31" i="10"/>
  <c r="D30"/>
  <c r="D32"/>
  <c r="C33"/>
  <c r="C48"/>
  <c r="C16"/>
  <c r="D49"/>
  <c r="D17"/>
  <c r="D48" i="8"/>
  <c r="D16"/>
  <c r="C48"/>
  <c r="C16"/>
  <c r="C49"/>
  <c r="C17"/>
  <c r="D49"/>
  <c r="C47" i="10"/>
  <c r="D46"/>
  <c r="D48"/>
  <c r="C49"/>
  <c r="C56"/>
  <c r="C24"/>
  <c r="D57"/>
  <c r="D25"/>
  <c r="D56" i="8"/>
  <c r="D24"/>
  <c r="C56"/>
  <c r="C24"/>
  <c r="C57"/>
  <c r="C25"/>
  <c r="D57"/>
  <c r="D64" i="7"/>
  <c r="D48"/>
  <c r="D32"/>
  <c r="D16"/>
  <c r="C64"/>
  <c r="C48"/>
  <c r="C32"/>
  <c r="C16"/>
  <c r="C65"/>
  <c r="C49"/>
  <c r="C33"/>
  <c r="C17"/>
  <c r="D65"/>
  <c r="D39"/>
  <c r="D7"/>
  <c r="C47" i="11"/>
  <c r="C23"/>
  <c r="C3"/>
  <c r="D46"/>
  <c r="D22"/>
  <c r="D2"/>
  <c r="D48"/>
  <c r="D24"/>
  <c r="D4"/>
  <c r="C49"/>
  <c r="C25"/>
  <c r="C5"/>
  <c r="C56"/>
  <c r="C44"/>
  <c r="C34"/>
  <c r="C24"/>
  <c r="C12"/>
  <c r="C2"/>
  <c r="D57"/>
  <c r="D45"/>
  <c r="D35"/>
  <c r="D25"/>
  <c r="D13"/>
  <c r="D3"/>
  <c r="C63" i="10"/>
  <c r="D62"/>
  <c r="D64"/>
  <c r="C65"/>
  <c r="C64"/>
  <c r="C32"/>
  <c r="D65"/>
  <c r="D33"/>
  <c r="D64" i="8"/>
  <c r="D32"/>
  <c r="C64"/>
  <c r="C32"/>
  <c r="C65"/>
  <c r="C33"/>
  <c r="D65"/>
  <c r="D33"/>
  <c r="D25"/>
  <c r="D17"/>
  <c r="D9"/>
  <c r="C51" i="10"/>
  <c r="C19"/>
  <c r="D50"/>
  <c r="D34"/>
  <c r="D2"/>
  <c r="D52"/>
  <c r="D20"/>
  <c r="C53"/>
  <c r="C37"/>
  <c r="C58"/>
  <c r="C42"/>
  <c r="C26"/>
  <c r="C18"/>
  <c r="C2"/>
  <c r="D51"/>
  <c r="D43"/>
  <c r="D27"/>
  <c r="D19"/>
  <c r="D3"/>
  <c r="D58" i="8"/>
  <c r="D42"/>
  <c r="D26"/>
  <c r="D18"/>
  <c r="D2"/>
  <c r="C50"/>
  <c r="C34"/>
  <c r="C18"/>
  <c r="C2"/>
  <c r="C51"/>
  <c r="C35"/>
  <c r="C19"/>
  <c r="C3"/>
  <c r="D43"/>
  <c r="D27"/>
  <c r="D11"/>
  <c r="D57" i="7"/>
  <c r="D49"/>
  <c r="D41"/>
  <c r="D33"/>
  <c r="D25"/>
  <c r="D17"/>
  <c r="D9"/>
  <c r="C55" i="10"/>
  <c r="C39"/>
  <c r="C23"/>
  <c r="C7"/>
  <c r="D54"/>
  <c r="D38"/>
  <c r="D22"/>
  <c r="D6"/>
  <c r="D56"/>
  <c r="D40"/>
  <c r="D24"/>
  <c r="D8"/>
  <c r="C57"/>
  <c r="C41"/>
  <c r="C25"/>
  <c r="C9"/>
  <c r="C60"/>
  <c r="C52"/>
  <c r="C44"/>
  <c r="C36"/>
  <c r="C28"/>
  <c r="C20"/>
  <c r="C12"/>
  <c r="D61"/>
  <c r="D53"/>
  <c r="D45"/>
  <c r="D37"/>
  <c r="D29"/>
  <c r="D21"/>
  <c r="D13"/>
  <c r="D5"/>
  <c r="D60" i="8"/>
  <c r="D52"/>
  <c r="D44"/>
  <c r="D36"/>
  <c r="D28"/>
  <c r="D20"/>
  <c r="D12"/>
  <c r="D4"/>
  <c r="C60"/>
  <c r="C52"/>
  <c r="C44"/>
  <c r="C36"/>
  <c r="C28"/>
  <c r="C20"/>
  <c r="C12"/>
  <c r="C4"/>
  <c r="C61"/>
  <c r="C53"/>
  <c r="C45"/>
  <c r="C37"/>
  <c r="C29"/>
  <c r="C21"/>
  <c r="C13"/>
  <c r="C5"/>
  <c r="D61"/>
  <c r="D53"/>
  <c r="D45"/>
  <c r="D37"/>
  <c r="D29"/>
  <c r="D21"/>
  <c r="D13"/>
  <c r="D5"/>
  <c r="D58" i="7"/>
  <c r="D50"/>
  <c r="D42"/>
  <c r="D34"/>
  <c r="D26"/>
  <c r="D18"/>
  <c r="D10"/>
  <c r="D2"/>
  <c r="C58"/>
  <c r="C50"/>
  <c r="C42"/>
  <c r="C34"/>
  <c r="C26"/>
  <c r="C18"/>
  <c r="C10"/>
  <c r="C2"/>
  <c r="C59"/>
  <c r="C51"/>
  <c r="C43"/>
  <c r="C35"/>
  <c r="C27"/>
  <c r="C19"/>
  <c r="C11"/>
  <c r="C3"/>
  <c r="D59"/>
  <c r="D51"/>
  <c r="D43"/>
  <c r="D35"/>
  <c r="D27"/>
  <c r="D19"/>
  <c r="D11"/>
  <c r="D3"/>
  <c r="C59" i="11"/>
  <c r="C43"/>
  <c r="C27"/>
  <c r="C11"/>
  <c r="D58"/>
  <c r="D42"/>
  <c r="D26"/>
  <c r="D10"/>
  <c r="D60"/>
  <c r="D44"/>
  <c r="D28"/>
  <c r="D12"/>
  <c r="C61"/>
  <c r="C45"/>
  <c r="C29"/>
  <c r="C13"/>
  <c r="C62"/>
  <c r="C54"/>
  <c r="C46"/>
  <c r="C38"/>
  <c r="C30"/>
  <c r="C22"/>
  <c r="C14"/>
  <c r="C6"/>
  <c r="D63"/>
  <c r="D55"/>
  <c r="D47"/>
  <c r="D39"/>
  <c r="D31"/>
  <c r="D23"/>
  <c r="D15"/>
  <c r="D7"/>
  <c r="C35" i="10"/>
  <c r="D18"/>
  <c r="D36"/>
  <c r="D4"/>
  <c r="C21"/>
  <c r="C50"/>
  <c r="C34"/>
  <c r="C10"/>
  <c r="D59"/>
  <c r="D35"/>
  <c r="D11"/>
  <c r="D50" i="8"/>
  <c r="D34"/>
  <c r="D10"/>
  <c r="C58"/>
  <c r="C42"/>
  <c r="C26"/>
  <c r="C10"/>
  <c r="C59"/>
  <c r="C43"/>
  <c r="C27"/>
  <c r="C11"/>
  <c r="D59"/>
  <c r="D51"/>
  <c r="D35"/>
  <c r="D19"/>
  <c r="D3"/>
  <c r="C59" i="10"/>
  <c r="C43"/>
  <c r="C27"/>
  <c r="C11"/>
  <c r="D58"/>
  <c r="D42"/>
  <c r="D26"/>
  <c r="D10"/>
  <c r="D60"/>
  <c r="D44"/>
  <c r="D28"/>
  <c r="D12"/>
  <c r="C61"/>
  <c r="C45"/>
  <c r="C29"/>
  <c r="C13"/>
  <c r="C62"/>
  <c r="C54"/>
  <c r="C46"/>
  <c r="C38"/>
  <c r="C30"/>
  <c r="C22"/>
  <c r="C14"/>
  <c r="D63"/>
  <c r="D55"/>
  <c r="D47"/>
  <c r="D39"/>
  <c r="D31"/>
  <c r="D23"/>
  <c r="D15"/>
  <c r="D7"/>
  <c r="D62" i="8"/>
  <c r="D54"/>
  <c r="D46"/>
  <c r="D38"/>
  <c r="D30"/>
  <c r="D22"/>
  <c r="D14"/>
  <c r="D6"/>
  <c r="C62"/>
  <c r="C54"/>
  <c r="C46"/>
  <c r="C38"/>
  <c r="C30"/>
  <c r="C22"/>
  <c r="C14"/>
  <c r="C6"/>
  <c r="C63"/>
  <c r="C55"/>
  <c r="C47"/>
  <c r="C39"/>
  <c r="C31"/>
  <c r="C23"/>
  <c r="C15"/>
  <c r="C7"/>
  <c r="D63"/>
  <c r="D55"/>
  <c r="D47"/>
  <c r="D39"/>
  <c r="D31"/>
  <c r="D23"/>
  <c r="D15"/>
  <c r="D7"/>
  <c r="D60" i="7"/>
  <c r="D52"/>
  <c r="D44"/>
  <c r="D36"/>
  <c r="D28"/>
  <c r="D20"/>
  <c r="D12"/>
  <c r="D4"/>
  <c r="C60"/>
  <c r="C52"/>
  <c r="C44"/>
  <c r="C36"/>
  <c r="C28"/>
  <c r="C20"/>
  <c r="C12"/>
  <c r="C4"/>
  <c r="C61"/>
  <c r="C53"/>
  <c r="C45"/>
  <c r="C37"/>
  <c r="C29"/>
  <c r="C21"/>
  <c r="C13"/>
  <c r="C5"/>
  <c r="D61"/>
  <c r="D53"/>
  <c r="D45"/>
  <c r="D37"/>
  <c r="D29"/>
  <c r="D21"/>
  <c r="D13"/>
  <c r="D5"/>
  <c r="D73" i="17"/>
  <c r="C70"/>
  <c r="D70"/>
  <c r="D100"/>
  <c r="D77"/>
  <c r="C92"/>
  <c r="D67"/>
  <c r="D92"/>
  <c r="D86"/>
  <c r="C79"/>
  <c r="C95"/>
  <c r="D97"/>
  <c r="D74"/>
  <c r="D66"/>
  <c r="C89"/>
  <c r="C71"/>
  <c r="D78"/>
  <c r="C99"/>
  <c r="D90"/>
  <c r="D81"/>
  <c r="D82"/>
  <c r="D80"/>
  <c r="D84"/>
  <c r="D94"/>
  <c r="D71"/>
  <c r="C67"/>
  <c r="C84"/>
  <c r="D93"/>
  <c r="D96"/>
  <c r="D75"/>
  <c r="C72"/>
  <c r="D72"/>
  <c r="D68"/>
  <c r="C81"/>
  <c r="C82"/>
  <c r="C100"/>
  <c r="D69"/>
  <c r="C98"/>
  <c r="C97"/>
  <c r="C69"/>
  <c r="D98"/>
  <c r="C101"/>
  <c r="C75"/>
  <c r="D99"/>
  <c r="C85"/>
  <c r="C80"/>
  <c r="C96"/>
  <c r="C87"/>
  <c r="C76"/>
  <c r="C93"/>
  <c r="D76"/>
  <c r="D91"/>
  <c r="C94"/>
  <c r="D95"/>
  <c r="D101"/>
  <c r="D89"/>
  <c r="C66"/>
  <c r="C91"/>
  <c r="C68"/>
  <c r="D87"/>
  <c r="D88"/>
  <c r="C77"/>
  <c r="C74"/>
  <c r="D83"/>
  <c r="C88"/>
  <c r="C83"/>
  <c r="C90"/>
  <c r="D79"/>
  <c r="C78"/>
  <c r="C73"/>
  <c r="D85"/>
  <c r="C86"/>
  <c r="D4"/>
  <c r="D6"/>
  <c r="D8"/>
  <c r="D10"/>
  <c r="D12"/>
  <c r="D14"/>
  <c r="D16"/>
  <c r="D18"/>
  <c r="D20"/>
  <c r="D22"/>
  <c r="D24"/>
  <c r="D26"/>
  <c r="D28"/>
  <c r="D30"/>
  <c r="D32"/>
  <c r="D34"/>
  <c r="D36"/>
  <c r="D38"/>
  <c r="D40"/>
  <c r="D42"/>
  <c r="D44"/>
  <c r="D46"/>
  <c r="D48"/>
  <c r="D50"/>
  <c r="D52"/>
  <c r="D54"/>
  <c r="D56"/>
  <c r="D58"/>
  <c r="D60"/>
  <c r="D62"/>
  <c r="D64"/>
  <c r="C2"/>
  <c r="C4"/>
  <c r="C6"/>
  <c r="C8"/>
  <c r="C10"/>
  <c r="C12"/>
  <c r="C14"/>
  <c r="C16"/>
  <c r="C18"/>
  <c r="C20"/>
  <c r="C22"/>
  <c r="C24"/>
  <c r="C26"/>
  <c r="C28"/>
  <c r="C30"/>
  <c r="C32"/>
  <c r="C34"/>
  <c r="C36"/>
  <c r="C38"/>
  <c r="C40"/>
  <c r="C42"/>
  <c r="C44"/>
  <c r="C46"/>
  <c r="C48"/>
  <c r="C50"/>
  <c r="C52"/>
  <c r="C54"/>
  <c r="C56"/>
  <c r="C58"/>
  <c r="C60"/>
  <c r="C62"/>
  <c r="C64"/>
  <c r="D2"/>
  <c r="C41"/>
  <c r="C49"/>
  <c r="C53"/>
  <c r="C59"/>
  <c r="C65"/>
  <c r="D3"/>
  <c r="D5"/>
  <c r="D7"/>
  <c r="D9"/>
  <c r="D11"/>
  <c r="D13"/>
  <c r="D15"/>
  <c r="D17"/>
  <c r="D19"/>
  <c r="D21"/>
  <c r="D23"/>
  <c r="D25"/>
  <c r="D27"/>
  <c r="D29"/>
  <c r="D31"/>
  <c r="D33"/>
  <c r="D35"/>
  <c r="D37"/>
  <c r="D39"/>
  <c r="D41"/>
  <c r="D43"/>
  <c r="D45"/>
  <c r="D47"/>
  <c r="D49"/>
  <c r="D51"/>
  <c r="D53"/>
  <c r="D55"/>
  <c r="D57"/>
  <c r="D59"/>
  <c r="D61"/>
  <c r="D63"/>
  <c r="D65"/>
  <c r="C3"/>
  <c r="C5"/>
  <c r="C7"/>
  <c r="C9"/>
  <c r="C11"/>
  <c r="C13"/>
  <c r="C15"/>
  <c r="C17"/>
  <c r="C19"/>
  <c r="C21"/>
  <c r="C23"/>
  <c r="C25"/>
  <c r="C27"/>
  <c r="C29"/>
  <c r="C31"/>
  <c r="C33"/>
  <c r="C35"/>
  <c r="C37"/>
  <c r="C39"/>
  <c r="C43"/>
  <c r="C45"/>
  <c r="C47"/>
  <c r="C51"/>
  <c r="C55"/>
  <c r="C57"/>
  <c r="C61"/>
  <c r="C63"/>
  <c r="D76" i="13"/>
  <c r="C90"/>
  <c r="C71"/>
  <c r="D78"/>
  <c r="C73"/>
  <c r="D92"/>
  <c r="D73"/>
  <c r="D67"/>
  <c r="D69"/>
  <c r="D79"/>
  <c r="C68"/>
  <c r="D75"/>
  <c r="D99"/>
  <c r="C88"/>
  <c r="C86"/>
  <c r="D66"/>
  <c r="C97"/>
  <c r="D96"/>
  <c r="D85"/>
  <c r="C101"/>
  <c r="D88"/>
  <c r="D71"/>
  <c r="D84"/>
  <c r="C77"/>
  <c r="D82"/>
  <c r="C67"/>
  <c r="C95"/>
  <c r="D81"/>
  <c r="D97"/>
  <c r="C100"/>
  <c r="C74"/>
  <c r="D72"/>
  <c r="C80"/>
  <c r="C99"/>
  <c r="C69"/>
  <c r="D93"/>
  <c r="D90"/>
  <c r="C75"/>
  <c r="C87"/>
  <c r="D87"/>
  <c r="D70"/>
  <c r="D86"/>
  <c r="D98"/>
  <c r="D80"/>
  <c r="C78"/>
  <c r="D95"/>
  <c r="C94"/>
  <c r="D94"/>
  <c r="C98"/>
  <c r="D68"/>
  <c r="D100"/>
  <c r="C72"/>
  <c r="C96"/>
  <c r="C85"/>
  <c r="C81"/>
  <c r="D76" i="14"/>
  <c r="C83" i="13"/>
  <c r="D101"/>
  <c r="C66"/>
  <c r="C79"/>
  <c r="C92"/>
  <c r="D83"/>
  <c r="D77"/>
  <c r="C93"/>
  <c r="D91"/>
  <c r="C89"/>
  <c r="C82"/>
  <c r="C70"/>
  <c r="C76"/>
  <c r="D74"/>
  <c r="D89"/>
  <c r="C84"/>
  <c r="C91"/>
  <c r="D53"/>
  <c r="D4" i="14"/>
  <c r="C89"/>
  <c r="D99"/>
  <c r="D92"/>
  <c r="D70"/>
  <c r="D80"/>
  <c r="D83"/>
  <c r="C100"/>
  <c r="C96"/>
  <c r="D91"/>
  <c r="D90"/>
  <c r="C92"/>
  <c r="C68"/>
  <c r="C93"/>
  <c r="C67"/>
  <c r="D67"/>
  <c r="D75"/>
  <c r="C77"/>
  <c r="C99"/>
  <c r="C66"/>
  <c r="C79"/>
  <c r="C82"/>
  <c r="D93"/>
  <c r="D95"/>
  <c r="D100"/>
  <c r="C73"/>
  <c r="D96"/>
  <c r="D94"/>
  <c r="C84"/>
  <c r="C69"/>
  <c r="C70"/>
  <c r="D79"/>
  <c r="D73"/>
  <c r="D98"/>
  <c r="D84"/>
  <c r="D85"/>
  <c r="D86"/>
  <c r="D81"/>
  <c r="C76"/>
  <c r="C91"/>
  <c r="D71"/>
  <c r="C72"/>
  <c r="D68"/>
  <c r="C80"/>
  <c r="C87"/>
  <c r="C86"/>
  <c r="C71"/>
  <c r="D74"/>
  <c r="C88"/>
  <c r="C74"/>
  <c r="D77"/>
  <c r="D88"/>
  <c r="D89"/>
  <c r="D82"/>
  <c r="C98"/>
  <c r="C85"/>
  <c r="C75"/>
  <c r="C78"/>
  <c r="D87"/>
  <c r="D72"/>
  <c r="D97"/>
  <c r="D78"/>
  <c r="C81"/>
  <c r="C83"/>
  <c r="C101"/>
  <c r="D69"/>
  <c r="C94"/>
  <c r="C95"/>
  <c r="C97"/>
  <c r="D101"/>
  <c r="C90"/>
  <c r="D66"/>
  <c r="C3"/>
  <c r="C15"/>
  <c r="C24" i="13"/>
  <c r="C60" i="14"/>
  <c r="C34"/>
  <c r="D36"/>
  <c r="D52"/>
  <c r="C32"/>
  <c r="C43"/>
  <c r="C39"/>
  <c r="C62"/>
  <c r="D60"/>
  <c r="D56"/>
  <c r="D15"/>
  <c r="D7"/>
  <c r="D43"/>
  <c r="C8"/>
  <c r="D34"/>
  <c r="D51"/>
  <c r="C50"/>
  <c r="D19"/>
  <c r="D5"/>
  <c r="D14"/>
  <c r="C9"/>
  <c r="D47"/>
  <c r="D13"/>
  <c r="C58"/>
  <c r="C40"/>
  <c r="C24"/>
  <c r="C44"/>
  <c r="D27"/>
  <c r="D46"/>
  <c r="D39"/>
  <c r="D11"/>
  <c r="D23"/>
  <c r="C6"/>
  <c r="D38"/>
  <c r="D49"/>
  <c r="C5"/>
  <c r="D22"/>
  <c r="D58"/>
  <c r="C61"/>
  <c r="D55"/>
  <c r="D18"/>
  <c r="C29"/>
  <c r="C48"/>
  <c r="C52"/>
  <c r="C16"/>
  <c r="D42"/>
  <c r="D2"/>
  <c r="C4"/>
  <c r="C13"/>
  <c r="C2"/>
  <c r="C65"/>
  <c r="D21"/>
  <c r="D30"/>
  <c r="D54"/>
  <c r="C57"/>
  <c r="C28"/>
  <c r="D9"/>
  <c r="D63"/>
  <c r="C10"/>
  <c r="C54"/>
  <c r="C55"/>
  <c r="D12"/>
  <c r="C38"/>
  <c r="D24"/>
  <c r="C42"/>
  <c r="D33"/>
  <c r="D29"/>
  <c r="D59"/>
  <c r="C21"/>
  <c r="D62"/>
  <c r="C14"/>
  <c r="C36"/>
  <c r="D48"/>
  <c r="D50"/>
  <c r="C46"/>
  <c r="D37"/>
  <c r="C37"/>
  <c r="C26"/>
  <c r="D41"/>
  <c r="C20"/>
  <c r="C25"/>
  <c r="C45"/>
  <c r="D26"/>
  <c r="C64"/>
  <c r="C53"/>
  <c r="D45"/>
  <c r="D61"/>
  <c r="C22"/>
  <c r="D57"/>
  <c r="C12"/>
  <c r="C56"/>
  <c r="D64"/>
  <c r="D53"/>
  <c r="C33"/>
  <c r="D17"/>
  <c r="C41"/>
  <c r="D40"/>
  <c r="D6"/>
  <c r="C19"/>
  <c r="D44"/>
  <c r="D20"/>
  <c r="C63"/>
  <c r="C47"/>
  <c r="D10"/>
  <c r="D3"/>
  <c r="D16"/>
  <c r="C49"/>
  <c r="D8"/>
  <c r="C7"/>
  <c r="C59"/>
  <c r="C17"/>
  <c r="D65"/>
  <c r="D25"/>
  <c r="C30"/>
  <c r="C18"/>
  <c r="D35"/>
  <c r="D28"/>
  <c r="C31"/>
  <c r="C51"/>
  <c r="C27"/>
  <c r="C11"/>
  <c r="C17" i="13"/>
  <c r="C35"/>
  <c r="D2"/>
  <c r="D35"/>
  <c r="C32"/>
  <c r="D38"/>
  <c r="C14"/>
  <c r="D11"/>
  <c r="D37"/>
  <c r="C43"/>
  <c r="C38"/>
  <c r="D32"/>
  <c r="D43"/>
  <c r="D33"/>
  <c r="D56"/>
  <c r="C47"/>
  <c r="D31"/>
  <c r="C62"/>
  <c r="C53"/>
  <c r="D17"/>
  <c r="D54"/>
  <c r="C19"/>
  <c r="C59"/>
  <c r="D7"/>
  <c r="D50"/>
  <c r="C21"/>
  <c r="D52"/>
  <c r="D15"/>
  <c r="C30"/>
  <c r="C15"/>
  <c r="D48"/>
  <c r="C33"/>
  <c r="D19"/>
  <c r="D5"/>
  <c r="C34"/>
  <c r="C57"/>
  <c r="D62"/>
  <c r="D65"/>
  <c r="D47"/>
  <c r="C61"/>
  <c r="D29"/>
  <c r="D40"/>
  <c r="D60"/>
  <c r="C6"/>
  <c r="C11"/>
  <c r="C64"/>
  <c r="D58"/>
  <c r="C18"/>
  <c r="D4"/>
  <c r="D9"/>
  <c r="D51"/>
  <c r="C37"/>
  <c r="C10"/>
  <c r="D49"/>
  <c r="D64"/>
  <c r="C45"/>
  <c r="D8"/>
  <c r="D63"/>
  <c r="C13"/>
  <c r="C39"/>
  <c r="D41"/>
  <c r="C8"/>
  <c r="D61"/>
  <c r="C55"/>
  <c r="C9"/>
  <c r="D10"/>
  <c r="C42"/>
  <c r="C63"/>
  <c r="C51"/>
  <c r="C5"/>
  <c r="C2"/>
  <c r="D14"/>
  <c r="C7"/>
  <c r="D55"/>
  <c r="C54"/>
  <c r="C50"/>
  <c r="D24"/>
  <c r="D18"/>
  <c r="C48"/>
  <c r="C16"/>
  <c r="C65"/>
  <c r="D34"/>
  <c r="C26"/>
  <c r="D28"/>
  <c r="D12"/>
  <c r="C44"/>
  <c r="D20"/>
  <c r="D22"/>
  <c r="C3"/>
  <c r="D30"/>
  <c r="D39"/>
  <c r="D3"/>
  <c r="C52"/>
  <c r="D59"/>
  <c r="D21"/>
  <c r="D16"/>
  <c r="D26"/>
  <c r="D42"/>
  <c r="D25"/>
  <c r="D36"/>
  <c r="C40"/>
  <c r="C46"/>
  <c r="C29"/>
  <c r="D13"/>
  <c r="C41"/>
  <c r="C36"/>
  <c r="D27"/>
  <c r="C28"/>
  <c r="D45"/>
  <c r="C23"/>
  <c r="C49"/>
  <c r="C12"/>
  <c r="C56"/>
  <c r="C27"/>
  <c r="D57"/>
  <c r="C58"/>
  <c r="D46"/>
  <c r="C22"/>
  <c r="C4"/>
  <c r="D44"/>
  <c r="C20"/>
  <c r="D23"/>
  <c r="C25"/>
  <c r="C60"/>
  <c r="D6"/>
  <c r="C31"/>
  <c r="C35" i="14"/>
  <c r="D31"/>
  <c r="D32"/>
  <c r="C23"/>
  <c r="C62" i="9"/>
  <c r="C22"/>
  <c r="D3"/>
  <c r="C43"/>
  <c r="C51"/>
  <c r="C38"/>
  <c r="C14"/>
  <c r="C35"/>
  <c r="C46"/>
  <c r="C11"/>
  <c r="C6"/>
  <c r="C21"/>
  <c r="D18"/>
  <c r="D26"/>
  <c r="D34"/>
  <c r="C33"/>
  <c r="C23"/>
  <c r="C9"/>
  <c r="D55"/>
  <c r="D10"/>
  <c r="C32"/>
  <c r="D44"/>
  <c r="C8"/>
  <c r="C49"/>
  <c r="D41"/>
  <c r="C24"/>
  <c r="C59"/>
  <c r="D57"/>
  <c r="D53"/>
  <c r="D51"/>
  <c r="D25"/>
  <c r="C56"/>
  <c r="C50"/>
  <c r="C18"/>
  <c r="C54"/>
  <c r="C15"/>
  <c r="D33"/>
  <c r="C37"/>
  <c r="C2"/>
  <c r="C20"/>
  <c r="C7"/>
  <c r="D31"/>
  <c r="C19"/>
  <c r="D20"/>
  <c r="D47"/>
  <c r="D50"/>
  <c r="D45"/>
  <c r="D43"/>
  <c r="C39"/>
  <c r="D52"/>
  <c r="D37"/>
  <c r="C34"/>
  <c r="C28"/>
  <c r="C17"/>
  <c r="C63"/>
  <c r="D2"/>
  <c r="C26"/>
  <c r="D12"/>
  <c r="C3"/>
  <c r="C64"/>
  <c r="C61"/>
  <c r="C4"/>
  <c r="D63"/>
  <c r="C29"/>
  <c r="C65"/>
  <c r="C30"/>
  <c r="D13"/>
  <c r="D36"/>
  <c r="D58"/>
  <c r="C47"/>
  <c r="C44"/>
  <c r="C41"/>
  <c r="C5"/>
  <c r="C27"/>
  <c r="C52"/>
  <c r="D4"/>
  <c r="C57"/>
  <c r="D42"/>
  <c r="D9"/>
  <c r="D61"/>
  <c r="C25"/>
  <c r="D23"/>
  <c r="C58"/>
  <c r="D59"/>
  <c r="C31"/>
  <c r="C36"/>
  <c r="D15"/>
  <c r="D21"/>
  <c r="D65"/>
  <c r="C53"/>
  <c r="C55"/>
  <c r="D5"/>
  <c r="C40"/>
  <c r="C60"/>
  <c r="D29"/>
  <c r="C12"/>
  <c r="D27"/>
  <c r="D14"/>
  <c r="C16"/>
  <c r="D54"/>
  <c r="D17"/>
  <c r="D6"/>
  <c r="D28"/>
  <c r="D19"/>
  <c r="D46"/>
  <c r="D35"/>
  <c r="D30"/>
  <c r="D39"/>
  <c r="D64"/>
  <c r="C13"/>
  <c r="C42"/>
  <c r="D11"/>
  <c r="C10"/>
  <c r="D49"/>
  <c r="D40"/>
  <c r="D60"/>
  <c r="D16"/>
  <c r="D24"/>
  <c r="D8"/>
  <c r="D22"/>
  <c r="D7"/>
  <c r="D38"/>
  <c r="D32"/>
  <c r="C48"/>
  <c r="C45"/>
  <c r="D56"/>
  <c r="D62"/>
  <c r="D2" i="15"/>
  <c r="D48" i="9"/>
  <c r="D73" i="15"/>
  <c r="D67"/>
  <c r="C78"/>
  <c r="D96"/>
  <c r="C79"/>
  <c r="C67"/>
  <c r="C75"/>
  <c r="D97"/>
  <c r="D91"/>
  <c r="C76"/>
  <c r="D68"/>
  <c r="C101"/>
  <c r="D78"/>
  <c r="C100"/>
  <c r="C86"/>
  <c r="D87"/>
  <c r="C72"/>
  <c r="C90"/>
  <c r="C88"/>
  <c r="D77"/>
  <c r="C71"/>
  <c r="C93"/>
  <c r="D82"/>
  <c r="D66"/>
  <c r="D89"/>
  <c r="C84"/>
  <c r="C96"/>
  <c r="D95"/>
  <c r="D84"/>
  <c r="D75"/>
  <c r="D79"/>
  <c r="C68"/>
  <c r="D71"/>
  <c r="C70"/>
  <c r="D88"/>
  <c r="D86"/>
  <c r="C81"/>
  <c r="D72"/>
  <c r="C85"/>
  <c r="C77"/>
  <c r="C87"/>
  <c r="C80"/>
  <c r="D81"/>
  <c r="D90"/>
  <c r="D70"/>
  <c r="D94"/>
  <c r="D76"/>
  <c r="C66"/>
  <c r="D83"/>
  <c r="D80"/>
  <c r="C83"/>
  <c r="C97"/>
  <c r="D101"/>
  <c r="D100"/>
  <c r="C98"/>
  <c r="D99"/>
  <c r="C69"/>
  <c r="C95"/>
  <c r="C74"/>
  <c r="C91"/>
  <c r="D92"/>
  <c r="C92"/>
  <c r="D85"/>
  <c r="D69"/>
  <c r="C94"/>
  <c r="D98"/>
  <c r="C99"/>
  <c r="C73"/>
  <c r="D74"/>
  <c r="C89"/>
  <c r="C82"/>
  <c r="D93"/>
  <c r="C58"/>
  <c r="D5"/>
  <c r="C7"/>
  <c r="C36"/>
  <c r="C2"/>
  <c r="C6"/>
  <c r="C52"/>
  <c r="C44"/>
  <c r="D53"/>
  <c r="D28"/>
  <c r="D56"/>
  <c r="C37"/>
  <c r="D45"/>
  <c r="C43"/>
  <c r="C26"/>
  <c r="C9"/>
  <c r="D21"/>
  <c r="C17"/>
  <c r="C20"/>
  <c r="C33"/>
  <c r="C42"/>
  <c r="D16"/>
  <c r="C35"/>
  <c r="C31"/>
  <c r="C30"/>
  <c r="C48"/>
  <c r="D11"/>
  <c r="C64"/>
  <c r="D34"/>
  <c r="D51"/>
  <c r="C8"/>
  <c r="C18"/>
  <c r="C50"/>
  <c r="C51"/>
  <c r="D23"/>
  <c r="C62"/>
  <c r="C4"/>
  <c r="D38"/>
  <c r="D62"/>
  <c r="D35"/>
  <c r="C40"/>
  <c r="C41"/>
  <c r="C46"/>
  <c r="D12"/>
  <c r="C34"/>
  <c r="D48"/>
  <c r="C63"/>
  <c r="C47"/>
  <c r="C15"/>
  <c r="D44"/>
  <c r="D37"/>
  <c r="C29"/>
  <c r="C22"/>
  <c r="D14"/>
  <c r="D57"/>
  <c r="C16"/>
  <c r="C32"/>
  <c r="D15"/>
  <c r="D33"/>
  <c r="D9"/>
  <c r="D60"/>
  <c r="D32"/>
  <c r="D36"/>
  <c r="D47"/>
  <c r="D54"/>
  <c r="C61"/>
  <c r="D43"/>
  <c r="D7"/>
  <c r="D20"/>
  <c r="D3"/>
  <c r="C55"/>
  <c r="D63"/>
  <c r="D30"/>
  <c r="C19"/>
  <c r="C13"/>
  <c r="D13"/>
  <c r="C60"/>
  <c r="D58"/>
  <c r="C56"/>
  <c r="C10"/>
  <c r="D4"/>
  <c r="D49"/>
  <c r="D18"/>
  <c r="C14"/>
  <c r="C53"/>
  <c r="C24"/>
  <c r="D19"/>
  <c r="C12"/>
  <c r="C21"/>
  <c r="D50"/>
  <c r="C38"/>
  <c r="C59"/>
  <c r="D29"/>
  <c r="C23"/>
  <c r="C65"/>
  <c r="D26"/>
  <c r="C54"/>
  <c r="D24"/>
  <c r="D55"/>
  <c r="C27"/>
  <c r="D8"/>
  <c r="C28"/>
  <c r="D61"/>
  <c r="D64"/>
  <c r="C25"/>
  <c r="D65"/>
  <c r="D46"/>
  <c r="D59"/>
  <c r="C49"/>
  <c r="D6"/>
  <c r="D31"/>
  <c r="D10"/>
  <c r="C45"/>
  <c r="D17"/>
  <c r="D27"/>
  <c r="D52"/>
  <c r="D40"/>
  <c r="D25"/>
  <c r="D22"/>
  <c r="C57"/>
  <c r="D39"/>
  <c r="D41"/>
  <c r="C5"/>
  <c r="D42"/>
  <c r="C11"/>
  <c r="C3"/>
  <c r="C39"/>
</calcChain>
</file>

<file path=xl/sharedStrings.xml><?xml version="1.0" encoding="utf-8"?>
<sst xmlns="http://schemas.openxmlformats.org/spreadsheetml/2006/main" count="579" uniqueCount="280">
  <si>
    <t>GPIO6/ EPWM4_A/ OUTPUTXBAR4/ SYNCOUT/ EQEP1_A/ CANB_TX/ SPIB_SOMI/ FSITXA_D0</t>
    <phoneticPr fontId="2" type="noConversion"/>
  </si>
  <si>
    <t>GPIO9/ EPWM5_B/ SCIB_TX/ OUTPUTXBAR6/ EQEP1_INDEX/ SCIA_RX/ SPIA_CLK/ FSITXA_D0</t>
    <phoneticPr fontId="2" type="noConversion"/>
  </si>
  <si>
    <t>GPIO7/ EPWM4_B/ OUTPUTXBAR5/ EQEP1_B/ CANB_RX/ SPIB_SIMO/ FSITXA_CLK</t>
    <phoneticPr fontId="2" type="noConversion"/>
  </si>
  <si>
    <t>GPIO22_VFBSW/ EQEP1_STROBE/ SCIB_TX/ SPIB_CLK/ SD1_D4/ LINA_TX/ VFBSW</t>
    <phoneticPr fontId="2" type="noConversion"/>
  </si>
  <si>
    <t>GPIO0/ EPWM1_A/ I2CA_SDA</t>
    <phoneticPr fontId="2" type="noConversion"/>
  </si>
  <si>
    <t>GPIO1/ EPWM1_B/ I2CA_SCL</t>
    <phoneticPr fontId="2" type="noConversion"/>
  </si>
  <si>
    <t>GPIO18_X2/ SPIA_CLK/ SCIB_TX/ CANA_RX/ EPWM6_A/ I2CA_SCL/ SD1_D2/ EQEP2_A/ PMBUSA_CTL/ XCLKOUT/ X2</t>
    <phoneticPr fontId="2" type="noConversion"/>
  </si>
  <si>
    <t>GPIO32/ I2CA_SDA/ SPIB_CLK/ EPWM8_B/ LINA_TX/ SD1_D3/ FSIRXA_D0/ CANA_TX</t>
    <phoneticPr fontId="2" type="noConversion"/>
  </si>
  <si>
    <t>GPIO35/ SCIA_RX/ I2CA_SDA/ CANA_RX/ PMBUSA_SCL/ LINA_RX/ EQEP1_A/ PMBUSA_CTL/ TDI</t>
    <phoneticPr fontId="2" type="noConversion"/>
  </si>
  <si>
    <t>TCK</t>
    <phoneticPr fontId="2" type="noConversion"/>
  </si>
  <si>
    <t>GPIO24/ OUTPUTXBAR1/ EQEP2_A/ EPWM8_A/ SPIB_SIMO/ SD1_D1/ PMBUSA_SCL/ SCIA_TX/ ERRORSTS</t>
    <phoneticPr fontId="2" type="noConversion"/>
  </si>
  <si>
    <t>GPIO33/ I2CA_SCL/ SPIB_STE/ OUTPUTXBAR4/ LINA_RX/ SD1_C3/ FSIRXA_CLK/ CANA_RX</t>
    <phoneticPr fontId="2" type="noConversion"/>
  </si>
  <si>
    <t>GPIO11/ EPWM6_B/ SCIB_RX/ OUTPUTXBAR7/ EQEP1_B/ SPIA_STE/ FSIRXA_D1</t>
    <phoneticPr fontId="2" type="noConversion"/>
  </si>
  <si>
    <t>A10/ B1/ C10/ PGA7_OF/ CMP7_HP0/ CMP7_LP0/ AIO230</t>
    <phoneticPr fontId="2" type="noConversion"/>
  </si>
  <si>
    <t>B4/ C8/ PGA4_OF/ CMP4_HP0/ CMP4_LP0/ AIO227</t>
    <phoneticPr fontId="2" type="noConversion"/>
  </si>
  <si>
    <t>A4/ B8/ PGA2_OF/ CMP2_HP0/ CMP2_LP0/ AIO225</t>
    <phoneticPr fontId="2" type="noConversion"/>
  </si>
  <si>
    <t>PGA2_GND/ PGA4_GND/ PGA6_GND</t>
    <phoneticPr fontId="2" type="noConversion"/>
  </si>
  <si>
    <t>C3/ CMP4_HP1/ CMP4_HN1/ CMP4_LP1/ CMP4_LN1/ PGA4_IN/ CMP4_HP2/ CMP4_LP2/ AIO245</t>
    <phoneticPr fontId="2" type="noConversion"/>
  </si>
  <si>
    <t>A0/ B15/ C15/ DACA_OUT/ AIO231</t>
    <phoneticPr fontId="2" type="noConversion"/>
  </si>
  <si>
    <t>A1/ DACB_OUT/ AIO232</t>
    <phoneticPr fontId="2" type="noConversion"/>
  </si>
  <si>
    <t>A2/ B6/ PGA1_OF/ CMP1_HP0/ CMP1_LP0/ AIO224</t>
    <phoneticPr fontId="2" type="noConversion"/>
  </si>
  <si>
    <t>GPIO28/ SCIA_RX/ EPWM7_A/ OUTPUTXBAR5/ EQEP1_A/ SD1_D3/ EQEP2_STROBE/ LINA_TX/ SPIB_CLK/ ERRORSTS</t>
    <phoneticPr fontId="2" type="noConversion"/>
  </si>
  <si>
    <t>GPIO29/ SCIA_TX/ EPWM7_B/ OUTPUTXBAR6/ EQEP1_B/ SD1_C3/ EQEP2_INDEX/ LINA_RX/ SPIB_STE/ ERRORSTS</t>
    <phoneticPr fontId="2" type="noConversion"/>
  </si>
  <si>
    <t>State</t>
    <phoneticPr fontId="2" type="noConversion"/>
  </si>
  <si>
    <t>PIN</t>
    <phoneticPr fontId="2" type="noConversion"/>
  </si>
  <si>
    <t>Name</t>
    <phoneticPr fontId="2" type="noConversion"/>
  </si>
  <si>
    <t>Search</t>
    <phoneticPr fontId="2" type="noConversion"/>
  </si>
  <si>
    <t>GPIO6/ EPWM4_A/ OUTPUTXBAR4/ SYNCOUT/ EQEP1_A/ CANB_TX/ SPIB_SOMI/ FSITXA_D0</t>
  </si>
  <si>
    <t>GPIO10/ EPWM6_A/ CANB_RX/ ADCSOCBO/ EQEP1_A/ SCIB_TX/ SPIA_SOMI/ I2CA_SDA/ FSITXA_CLK</t>
  </si>
  <si>
    <t>GPIO9/ EPWM5_B/ SCIB_TX/ OUTPUTXBAR6/ EQEP1_INDEX/ SCIA_RX/ SPIA_CLK/ FSITXA_D0</t>
  </si>
  <si>
    <t>GPIO5/ EPWM3_B/ OUTPUTXBAR3/ CANA_RX/ SPIA_STE/ FSITXA_D1</t>
  </si>
  <si>
    <t>GPIO7/ EPWM4_B/ OUTPUTXBAR5/ EQEP1_B/ CANB_RX/ SPIB_SIMO/ FSITXA_CLK</t>
  </si>
  <si>
    <t>GPIO22_VFBSW/ EQEP1_STROBE/ SCIB_TX/ SPIB_CLK/ SD1_D4/ LINA_TX/ VFBSW</t>
  </si>
  <si>
    <t>GPIO23_VSW/ VSW</t>
  </si>
  <si>
    <t>GPIO0/ EPWM1_A/ I2CA_SDA</t>
  </si>
  <si>
    <t>GPIO1/ EPWM1_B/ I2CA_SCL</t>
  </si>
  <si>
    <t>GPIO2/ EPWM2_A/ OUTPUTXBAR1/ PMBUSA_SDA/ SCIA_TX/ FSIRXA_D1</t>
  </si>
  <si>
    <t>GPIO3/ EPWM2_B/ OUTPUTXBAR2/ PMBUSA_SCL/ SPIA_CLK/ SCIA_RX/ FSIRXA_D0</t>
  </si>
  <si>
    <t>GPIO4/ EPWM3_A/ OUTPUTXBAR3/ CANA_TX/ FSIRXA_CLK</t>
  </si>
  <si>
    <t>GPIO8/ EPWM5_A/ CANB_TX/ ADCSOCAO/ EQEP1_STROBE/ SCIA_TX/ SPIA_SIMO/ I2CA_SCL/ FSITXA_D1</t>
  </si>
  <si>
    <t>GPIO18_X2/ SPIA_CLK/ SCIB_TX/ CANA_RX/ EPWM6_A/ I2CA_SCL/ SD1_D2/ EQEP2_A/ PMBUSA_CTL/ XCLKOUT/ X2</t>
  </si>
  <si>
    <t>GPIO32/ I2CA_SDA/ SPIB_CLK/ EPWM8_B/ LINA_TX/ SD1_D3/ FSIRXA_D0/ CANA_TX</t>
  </si>
  <si>
    <t>GPIO35/ SCIA_RX/ I2CA_SDA/ CANA_RX/ PMBUSA_SCL/ LINA_RX/ EQEP1_A/ PMBUSA_CTL/ TDI</t>
  </si>
  <si>
    <t>GPIO37/ OUTPUTXBAR2/ I2CA_SCL/ SCIA_TX/ CANA_TX/ LINA_TX/ EQEP1_B/ PMBUSA_ALERT/ TDO</t>
  </si>
  <si>
    <t>GPIO24/ OUTPUTXBAR1/ EQEP2_A/ EPWM8_A/ SPIB_SIMO/ SD1_D1/ PMBUSA_SCL/ SCIA_TX/ ERRORSTS</t>
  </si>
  <si>
    <t>GPIO17/ SPIA_SOMI/ CANB_RX/ OUTPUTXBAR8/ EPWM5_B/ SCIA_RX/ SD1_C1/ EQEP1_INDEX/ PMBUSA_SDA</t>
  </si>
  <si>
    <t>GPIO16/ SPIA_SIMO/ CANB_TX/ OUTPUTXBAR7/ EPWM5_A/ SCIA_TX/ SD1_D1/ EQEP1_STROBE/ PMBUSA_SCL/ XCLKOUT</t>
  </si>
  <si>
    <t>GPIO33/ I2CA_SCL/ SPIB_STE/ OUTPUTXBAR4/ LINA_RX/ SD1_C3/ FSIRXA_CLK/ CANA_RX</t>
  </si>
  <si>
    <t>GPIO11/ EPWM6_B/ SCIB_RX/ OUTPUTXBAR7/ EQEP1_B/ SPIA_STE/ FSIRXA_D1</t>
  </si>
  <si>
    <t>GPIO12/ EPWM7_A/ CANB_TX/ EQEP1_STROBE/ SCIB_TX/ PMBUSA_CTL/ FSIRXA_D0</t>
  </si>
  <si>
    <t>GPIO13/ EPWM7_B/ CANB_RX/ EQEP1_INDEX/ SCIB_RX/ PMBUSA_ALERT/ FSIRXA_CLK</t>
  </si>
  <si>
    <t>GPIO28/ SCIA_RX/ EPWM7_A/ OUTPUTXBAR5/ EQEP1_A/ SD1_D3/ EQEP2_STROBE/ LINA_TX/ SPIB_CLK/ ERRORSTS</t>
  </si>
  <si>
    <t>GPIO29/ SCIA_TX/ EPWM7_B/ OUTPUTXBAR6/ EQEP1_B/ SD1_C3/ EQEP2_INDEX/ LINA_RX/ SPIB_STE/ ERRORSTS</t>
  </si>
  <si>
    <t>GPIO:</t>
    <phoneticPr fontId="2" type="noConversion"/>
  </si>
  <si>
    <t>SPI:</t>
    <phoneticPr fontId="2" type="noConversion"/>
  </si>
  <si>
    <t>CAN:</t>
    <phoneticPr fontId="2" type="noConversion"/>
  </si>
  <si>
    <t>PMBUS:</t>
    <phoneticPr fontId="2" type="noConversion"/>
  </si>
  <si>
    <t>I2C:</t>
    <phoneticPr fontId="2" type="noConversion"/>
  </si>
  <si>
    <t>SCI:</t>
    <phoneticPr fontId="2" type="noConversion"/>
  </si>
  <si>
    <t>EPWM:</t>
    <phoneticPr fontId="2" type="noConversion"/>
  </si>
  <si>
    <t>A0/ B15/ C15/ DACA_OUT/ AIO231</t>
  </si>
  <si>
    <t>v</t>
    <phoneticPr fontId="2" type="noConversion"/>
  </si>
  <si>
    <t>A1/ DACB_OUT/ AIO232</t>
  </si>
  <si>
    <t>B3/ VDAC/ CMP3_HP3/ CMP3_HN0/ CMP3_LP3/ CMP3_LN0/ AIO242</t>
  </si>
  <si>
    <t>DAC:</t>
    <phoneticPr fontId="2" type="noConversion"/>
  </si>
  <si>
    <t>A10/ B1/ C10/ PGA7_OF/ CMP7_HP0/ CMP7_LP0/ AIO230</t>
  </si>
  <si>
    <t>B4/ C8/ PGA4_OF/ CMP4_HP0/ CMP4_LP0/ AIO227</t>
  </si>
  <si>
    <t>A4/ B8/ PGA2_OF/ CMP2_HP0/ CMP2_LP0/ AIO225</t>
  </si>
  <si>
    <t>PGA2_GND/ PGA4_GND/ PGA6_GND</t>
  </si>
  <si>
    <t>C3/ CMP4_HP1/ CMP4_HN1/ CMP4_LP1/ CMP4_LN1/ PGA4_IN/ CMP4_HP2/ CMP4_LP2/ AIO245</t>
  </si>
  <si>
    <t>A2/ B6/ PGA1_OF/ CMP1_HP0/ CMP1_LP0/ AIO224</t>
  </si>
  <si>
    <t>B2/ C6/ PGA3_OF/ CMP3_HP0/ CMP3_LP0/ AIO226</t>
  </si>
  <si>
    <t>A6/ PGA5_OF/ CMP5_HP0/ CMP5_LP0/ AIO228</t>
  </si>
  <si>
    <t>PGA:</t>
    <phoneticPr fontId="2" type="noConversion"/>
  </si>
  <si>
    <t>COMP:</t>
    <phoneticPr fontId="2" type="noConversion"/>
  </si>
  <si>
    <t>ADC:</t>
    <phoneticPr fontId="2" type="noConversion"/>
  </si>
  <si>
    <t>DEFAULT BOOT MODE SELECT:</t>
    <phoneticPr fontId="2" type="noConversion"/>
  </si>
  <si>
    <t>CLOCK:</t>
    <phoneticPr fontId="2" type="noConversion"/>
  </si>
  <si>
    <t>JTAG:</t>
    <phoneticPr fontId="2" type="noConversion"/>
  </si>
  <si>
    <t>Index</t>
    <phoneticPr fontId="2" type="noConversion"/>
  </si>
  <si>
    <t>Asserted</t>
    <phoneticPr fontId="2" type="noConversion"/>
  </si>
  <si>
    <t>Set</t>
    <phoneticPr fontId="2" type="noConversion"/>
  </si>
  <si>
    <t>Function Description</t>
    <phoneticPr fontId="2" type="noConversion"/>
  </si>
  <si>
    <t>Connect to</t>
    <phoneticPr fontId="2" type="noConversion"/>
  </si>
  <si>
    <t>Pin</t>
    <phoneticPr fontId="2" type="noConversion"/>
  </si>
  <si>
    <t>Function Description</t>
    <phoneticPr fontId="2" type="noConversion"/>
  </si>
  <si>
    <t>Connect to</t>
    <phoneticPr fontId="2" type="noConversion"/>
  </si>
  <si>
    <t>Name</t>
    <phoneticPr fontId="2" type="noConversion"/>
  </si>
  <si>
    <t>Pin</t>
    <phoneticPr fontId="2" type="noConversion"/>
  </si>
  <si>
    <t>Index</t>
    <phoneticPr fontId="2" type="noConversion"/>
  </si>
  <si>
    <t>A6/ PGA5_OF/ CMP5_HP0/ CMP5_LP0/ AIO228</t>
    <phoneticPr fontId="2" type="noConversion"/>
  </si>
  <si>
    <t>B2/ C6/ PGA3_OF/ CMP3_HP0/ CMP3_LP0/ AIO226</t>
    <phoneticPr fontId="2" type="noConversion"/>
  </si>
  <si>
    <t>B3/ VDAC/ CMP3_HP3/ CMP3_HN0/ CMP3_LP3/ CMP3_LN0/ AIO242</t>
    <phoneticPr fontId="2" type="noConversion"/>
  </si>
  <si>
    <t>PGA1_GND</t>
  </si>
  <si>
    <t>PGA1_GND</t>
    <phoneticPr fontId="2" type="noConversion"/>
  </si>
  <si>
    <t>GPIO2/ EPWM2_A/ OUTPUTXBAR1/ PMBUSA_SDA/ SCIA_TX/ FSIRXA_D1</t>
    <phoneticPr fontId="2" type="noConversion"/>
  </si>
  <si>
    <t>GPIO3/ EPWM2_B/ OUTPUTXBAR2/ PMBUSA_SCL/ SPIA_CLK/ SCIA_RX/ FSIRXA_D0</t>
    <phoneticPr fontId="2" type="noConversion"/>
  </si>
  <si>
    <t>GPIO4/ EPWM3_A/ OUTPUTXBAR3/ CANA_TX/ FSIRXA_CLK</t>
    <phoneticPr fontId="2" type="noConversion"/>
  </si>
  <si>
    <t>GPIO5/ EPWM3_B/ OUTPUTXBAR3/ CANA_RX/ SPIA_STE/ FSITXA_D1</t>
    <phoneticPr fontId="2" type="noConversion"/>
  </si>
  <si>
    <t>GPIO8/ EPWM5_A/ CANB_TX/ ADCSOCAO/ EQEP1_STROBE/ SCIA_TX/ SPIA_SIMO/ I2CA_SCL/ FSITXA_D1</t>
    <phoneticPr fontId="2" type="noConversion"/>
  </si>
  <si>
    <t>GPIO10/ EPWM6_A/ CANB_RX/ ADCSOCBO/ EQEP1_A/ SCIB_TX/ SPIA_SOMI/ I2CA_SDA/ FSITXA_CLK</t>
    <phoneticPr fontId="2" type="noConversion"/>
  </si>
  <si>
    <t>GPIO12/ EPWM7_A/ CANB_TX/ EQEP1_STROBE/ SCIB_TX/ PMBUSA_CTL/ FSIRXA_D0</t>
    <phoneticPr fontId="2" type="noConversion"/>
  </si>
  <si>
    <t>GPIO13/ EPWM7_B/ CANB_RX/ EQEP1_INDEX/ SCIB_RX/ PMBUSA_ALERT/ FSIRXA_CLK</t>
    <phoneticPr fontId="2" type="noConversion"/>
  </si>
  <si>
    <t>GPIO16/ SPIA_SIMO/ CANB_TX/ OUTPUTXBAR7/ EPWM5_A/ SCIA_TX/ SD1_D1/ EQEP1_STROBE/ PMBUSA_SCL/ XCLKOUT</t>
    <phoneticPr fontId="2" type="noConversion"/>
  </si>
  <si>
    <t>GPIO17/ SPIA_SOMI/ CANB_RX/ OUTPUTXBAR8/ EPWM5_B/ SCIA_RX/ SD1_C1/ EQEP1_INDEX/ PMBUSA_SDA</t>
    <phoneticPr fontId="2" type="noConversion"/>
  </si>
  <si>
    <t>GPIO23_VSW/ VSW</t>
    <phoneticPr fontId="2" type="noConversion"/>
  </si>
  <si>
    <t>GPIO37/ OUTPUTXBAR2/ I2CA_SCL/ SCIA_TX/ CANA_TX/ LINA_TX/ EQEP1_B/ PMBUSA_ALERT/ TDO</t>
    <phoneticPr fontId="2" type="noConversion"/>
  </si>
  <si>
    <t>TMS</t>
    <phoneticPr fontId="2" type="noConversion"/>
  </si>
  <si>
    <t>VREGENZ</t>
    <phoneticPr fontId="2" type="noConversion"/>
  </si>
  <si>
    <t>X1</t>
    <phoneticPr fontId="2" type="noConversion"/>
  </si>
  <si>
    <t>XRSn</t>
    <phoneticPr fontId="2" type="noConversion"/>
  </si>
  <si>
    <t>C0/ CMP1_HP1/ CMP1_HN1/ CMP1_LP1/ CMP1_LN1/ AIO237</t>
  </si>
  <si>
    <t>C0/ CMP1_HP1/ CMP1_HN1/ CMP1_LP1/ CMP1_LN1/ AIO237</t>
    <phoneticPr fontId="2" type="noConversion"/>
  </si>
  <si>
    <t>C1/ CMP2_HP1/ CMP2_HN1/ CMP2_LP1/ CMP2_LN1/ AIO238</t>
  </si>
  <si>
    <t>C1/ CMP2_HP1/ CMP2_HN1/ CMP2_LP1/ CMP2_LN1/ AIO238</t>
    <phoneticPr fontId="2" type="noConversion"/>
  </si>
  <si>
    <t>C2/ CMP3_HP1/ CMP3_HN1/ CMP3_LP1/ CMP3_LN1/ AIO244</t>
  </si>
  <si>
    <t>C2/ CMP3_HP1/ CMP3_HN1/ CMP3_LP1/ CMP3_LN1/ AIO244</t>
    <phoneticPr fontId="2" type="noConversion"/>
  </si>
  <si>
    <t>C4/ CMP5_HP1/ CMP5_HN1/ CMP5_LP1/ CMP5_LN1/ AIO239</t>
  </si>
  <si>
    <t>C4/ CMP5_HP1/ CMP5_HN1/ CMP5_LP1/ CMP5_LN1/ AIO239</t>
    <phoneticPr fontId="2" type="noConversion"/>
  </si>
  <si>
    <t>PGA1_IN/ CMP1_HP2/ CMP1_LP2</t>
  </si>
  <si>
    <t>PGA1_IN/ CMP1_HP2/ CMP1_LP2</t>
    <phoneticPr fontId="2" type="noConversion"/>
  </si>
  <si>
    <t>PGA2_IN/ CMP2_HP2/ CMP2_LP2</t>
  </si>
  <si>
    <t>PGA2_IN/ CMP2_HP2/ CMP2_LP2</t>
    <phoneticPr fontId="2" type="noConversion"/>
  </si>
  <si>
    <t>PGA3_GND</t>
  </si>
  <si>
    <t>PGA3_GND</t>
    <phoneticPr fontId="2" type="noConversion"/>
  </si>
  <si>
    <t>PGA3_IN/ CMP3_HP2/ CMP3_LP2</t>
  </si>
  <si>
    <t>PGA3_IN/ CMP3_HP2/ CMP3_LP2</t>
    <phoneticPr fontId="2" type="noConversion"/>
  </si>
  <si>
    <t>VREFHIB/ VREFHIC</t>
    <phoneticPr fontId="2" type="noConversion"/>
  </si>
  <si>
    <t>VREFHIA</t>
    <phoneticPr fontId="2" type="noConversion"/>
  </si>
  <si>
    <t>VREFLOB/ VREFLOC</t>
    <phoneticPr fontId="2" type="noConversion"/>
  </si>
  <si>
    <t>VREFLOA</t>
    <phoneticPr fontId="2" type="noConversion"/>
  </si>
  <si>
    <t>PGA5_IN/ CMP5_HP2/ CMP5_LP2</t>
  </si>
  <si>
    <t>PGA5_IN/ CMP5_HP2/ CMP5_LP2</t>
    <phoneticPr fontId="2" type="noConversion"/>
  </si>
  <si>
    <t>C14/ CMP7_HP1/ CMP7_HN1/ CMP7_LP1/ CMP7_LN1/ AIO246</t>
  </si>
  <si>
    <t>C14/ CMP7_HP1/ CMP7_HN1/ CMP7_LP1/ CMP7_LN1/ AIO246</t>
    <phoneticPr fontId="2" type="noConversion"/>
  </si>
  <si>
    <t>PGA5_GND</t>
  </si>
  <si>
    <t>PGA5_GND</t>
    <phoneticPr fontId="2" type="noConversion"/>
  </si>
  <si>
    <t>C5/ CMP6_HP1/ CMP6_HN1/ CMP6_LP1/ CMP6_LN1/ PGA6_IN/ CMP6_HP2/ CMP6_LP2/ AIO240</t>
  </si>
  <si>
    <t>C5/ CMP6_HP1/ CMP6_HN1/ CMP6_LP1/ CMP6_LN1/ PGA6_IN/ CMP6_HP2/ CMP6_LP2/ AIO240</t>
    <phoneticPr fontId="2" type="noConversion"/>
  </si>
  <si>
    <t>PGA7_GND</t>
  </si>
  <si>
    <t>PGA7_GND</t>
    <phoneticPr fontId="2" type="noConversion"/>
  </si>
  <si>
    <t>PGA7_IN/ CMP7_HP2/ CMP7_LP2</t>
  </si>
  <si>
    <t>PGA7_IN/ CMP7_HP2/ CMP7_LP2</t>
    <phoneticPr fontId="2" type="noConversion"/>
  </si>
  <si>
    <t>GPIO14/ EPWM8_A/ SCIB_TX/ OUTPUTXBAR3/ PMBUSA_SDA/ SPIB_CLK/ EQEP2_A</t>
  </si>
  <si>
    <t>GPIO14/ EPWM8_A/ SCIB_TX/ OUTPUTXBAR3/ PMBUSA_SDA/ SPIB_CLK/ EQEP2_A</t>
    <phoneticPr fontId="2" type="noConversion"/>
  </si>
  <si>
    <t>GPIO15/ EPWM8_B/ SCIB_RX/ OUTPUTXBAR4/ PMBUSA_SCL/ SPIB_STE/ EQEP2_B</t>
  </si>
  <si>
    <t>GPIO15/ EPWM8_B/ SCIB_RX/ OUTPUTXBAR4/ PMBUSA_SCL/ SPIB_STE/ EQEP2_B</t>
    <phoneticPr fontId="2" type="noConversion"/>
  </si>
  <si>
    <t>GPIO25/ OUTPUTXBAR2/ EQEP2_B/ SPIB_SOMI/ SD1_C1/ FSITXA_D1/ PMBUSA_SDA/ SCIA_RX</t>
  </si>
  <si>
    <t>GPIO25/ OUTPUTXBAR2/ EQEP2_B/ SPIB_SOMI/ SD1_C1/ FSITXA_D1/ PMBUSA_SDA/ SCIA_RX</t>
    <phoneticPr fontId="2" type="noConversion"/>
  </si>
  <si>
    <t>GPIO26/ OUTPUTXBAR3/ EQEP2_INDEX/ SPIB_CLK/ SD1_D2/ FSITXA_D0/ PMBUSA_CTL/ I2CA_SDA</t>
  </si>
  <si>
    <t>GPIO26/ OUTPUTXBAR3/ EQEP2_INDEX/ SPIB_CLK/ SD1_D2/ FSITXA_D0/ PMBUSA_CTL/ I2CA_SDA</t>
    <phoneticPr fontId="2" type="noConversion"/>
  </si>
  <si>
    <t>GPIO27/ OUTPUTXBAR4/ EQEP2_STROBE/ SPIB_STE/ SD1_C2/ FSITXA_CLK/ PMBUSA_ALERT/ I2CA_SCL</t>
  </si>
  <si>
    <t>GPIO27/ OUTPUTXBAR4/ EQEP2_STROBE/ SPIB_STE/ SD1_C2/ FSITXA_CLK/ PMBUSA_ALERT/ I2CA_SCL</t>
    <phoneticPr fontId="2" type="noConversion"/>
  </si>
  <si>
    <t>GPIO30/ CANA_RX/ SPIB_SIMO/ OUTPUTXBAR7/ EQEP1_STROBE/ SD1_D4</t>
  </si>
  <si>
    <t>GPIO30/ CANA_RX/ SPIB_SIMO/ OUTPUTXBAR7/ EQEP1_STROBE/ SD1_D4</t>
    <phoneticPr fontId="2" type="noConversion"/>
  </si>
  <si>
    <t>GPIO31/ CANA_TX/ SPIB_SOMI/ OUTPUTXBAR8/ EQEP1_INDEX/ SD1_C4/ FSIRXA_D1</t>
  </si>
  <si>
    <t>GPIO31/ CANA_TX/ SPIB_SOMI/ OUTPUTXBAR8/ EQEP1_INDEX/ SD1_C4/ FSIRXA_D1</t>
    <phoneticPr fontId="2" type="noConversion"/>
  </si>
  <si>
    <t>GPIO34/ OUTPUTXBAR1/ PMBUSA_SDA</t>
  </si>
  <si>
    <t>GPIO34/ OUTPUTXBAR1/ PMBUSA_SDA</t>
    <phoneticPr fontId="2" type="noConversion"/>
  </si>
  <si>
    <t>GPIO39/ CANB_RX/ FSIRXA_CLK</t>
  </si>
  <si>
    <t>GPIO39/ CANB_RX/ FSIRXA_CLK</t>
    <phoneticPr fontId="2" type="noConversion"/>
  </si>
  <si>
    <t>GPIO40/ PMBUSA_SDA/ FSIRXA_D0/ SCIB_TX/ EQEP1_A</t>
  </si>
  <si>
    <t>GPIO40/ PMBUSA_SDA/ FSIRXA_D0/ SCIB_TX/ EQEP1_A</t>
    <phoneticPr fontId="2" type="noConversion"/>
  </si>
  <si>
    <t>GPIO56/ SPIA_CLK/ EQEP2_STROBE/ SCIB_TX/ SD1_D3/ SPIB_SIMO/ EQEP1_A</t>
  </si>
  <si>
    <t>GPIO56/ SPIA_CLK/ EQEP2_STROBE/ SCIB_TX/ SD1_D3/ SPIB_SIMO/ EQEP1_A</t>
    <phoneticPr fontId="2" type="noConversion"/>
  </si>
  <si>
    <t>GPIO57/ SPIA_STE/ EQEP2_INDEX/ SCIB_RX/ SD1_C3/ SPIB_SOMI/ EQEP1_B</t>
  </si>
  <si>
    <t>GPIO57/ SPIA_STE/ EQEP2_INDEX/ SCIB_RX/ SD1_C3/ SPIB_SOMI/ EQEP1_B</t>
    <phoneticPr fontId="2" type="noConversion"/>
  </si>
  <si>
    <t>GPIO58/ OUTPUTXBAR1/ SPIB_CLK/ SD1_D4/ LINA_TX/ CANB_TX/ EQEP1_STROBE</t>
  </si>
  <si>
    <t>GPIO58/ OUTPUTXBAR1/ SPIB_CLK/ SD1_D4/ LINA_TX/ CANB_TX/ EQEP1_STROBE</t>
    <phoneticPr fontId="2" type="noConversion"/>
  </si>
  <si>
    <t>GPIO59/ OUTPUTXBAR2/ SPIB_STE/ SD1_C4/ LINA_RX/ CANB_RX/ EQEP1_INDEX</t>
  </si>
  <si>
    <t>GPIO59/ OUTPUTXBAR2/ SPIB_STE/ SD1_C4/ LINA_RX/ CANB_RX/ EQEP1_INDEX</t>
    <phoneticPr fontId="2" type="noConversion"/>
  </si>
  <si>
    <t>FLT1</t>
    <phoneticPr fontId="2" type="noConversion"/>
  </si>
  <si>
    <t>FLT2</t>
    <phoneticPr fontId="2" type="noConversion"/>
  </si>
  <si>
    <t>VDD</t>
    <phoneticPr fontId="2" type="noConversion"/>
  </si>
  <si>
    <t>VDDA</t>
    <phoneticPr fontId="2" type="noConversion"/>
  </si>
  <si>
    <t>VDDIO</t>
    <phoneticPr fontId="2" type="noConversion"/>
  </si>
  <si>
    <t>VDDIO</t>
    <phoneticPr fontId="2" type="noConversion"/>
  </si>
  <si>
    <t>VDDIO_SW</t>
    <phoneticPr fontId="2" type="noConversion"/>
  </si>
  <si>
    <t>VSS</t>
    <phoneticPr fontId="2" type="noConversion"/>
  </si>
  <si>
    <t>VSSA</t>
    <phoneticPr fontId="2" type="noConversion"/>
  </si>
  <si>
    <t>VSS_SW</t>
    <phoneticPr fontId="2" type="noConversion"/>
  </si>
  <si>
    <t>A5/ CMP2_HP3/ CMP2_HN0/ CMP2_LP3/ CMP2_LN0/ AIO234</t>
  </si>
  <si>
    <t>A5/ CMP2_HP3/ CMP2_HN0/ CMP2_LP3/ CMP2_LN0/ AIO234</t>
    <phoneticPr fontId="2" type="noConversion"/>
  </si>
  <si>
    <t>A8/ PGA6_OF/ CMP6_HP0/ CMP6_LP0/ AIO229</t>
  </si>
  <si>
    <t>A8/ PGA6_OF/ CMP6_HP0/ CMP6_LP0/ AIO229</t>
    <phoneticPr fontId="2" type="noConversion"/>
  </si>
  <si>
    <t>A9/ CMP6_HP3/ CMP6_HN0/ CMP6_LP3/ CMP6_LN0/ AIO236</t>
  </si>
  <si>
    <t>A9/ CMP6_HP3/ CMP6_HN0/ CMP6_LP3/ CMP6_LN0/ AIO236</t>
    <phoneticPr fontId="2" type="noConversion"/>
  </si>
  <si>
    <t>B0/ CMP7_HP3/ CMP7_HN0/ CMP7_LP3/ CMP7_LN0/ AIO241</t>
  </si>
  <si>
    <t>B0/ CMP7_HP3/ CMP7_HN0/ CMP7_LP3/ CMP7_LN0/ AIO241</t>
    <phoneticPr fontId="2" type="noConversion"/>
  </si>
  <si>
    <t>A3/ CMP1_HP3/ CMP1_HN0/ CMP1_LP3/ CMP1_LN0/ AIO233</t>
  </si>
  <si>
    <t>A3/ CMP1_HP3/ CMP1_HN0/ CMP1_LP3/ CMP1_LN0/ AIO233</t>
    <phoneticPr fontId="2" type="noConversion"/>
  </si>
  <si>
    <t>NA:</t>
    <phoneticPr fontId="2" type="noConversion"/>
  </si>
  <si>
    <t>Type</t>
    <phoneticPr fontId="2" type="noConversion"/>
  </si>
  <si>
    <t>v</t>
    <phoneticPr fontId="2" type="noConversion"/>
  </si>
  <si>
    <t>v</t>
    <phoneticPr fontId="2" type="noConversion"/>
  </si>
  <si>
    <t>v</t>
    <phoneticPr fontId="2" type="noConversion"/>
  </si>
  <si>
    <t>EPWM_PFC_PH1</t>
    <phoneticPr fontId="2" type="noConversion"/>
  </si>
  <si>
    <t>EPWM_PFC_PH2</t>
    <phoneticPr fontId="2" type="noConversion"/>
  </si>
  <si>
    <t>EPWM_PFC_PH3</t>
    <phoneticPr fontId="2" type="noConversion"/>
  </si>
  <si>
    <t>EPWM_PFC_PH4</t>
    <phoneticPr fontId="2" type="noConversion"/>
  </si>
  <si>
    <t>EPWM_PFC_N</t>
    <phoneticPr fontId="2" type="noConversion"/>
  </si>
  <si>
    <t>EPWM_PFC_L</t>
    <phoneticPr fontId="2" type="noConversion"/>
  </si>
  <si>
    <t>EPWM_FAN2_CTRL</t>
    <phoneticPr fontId="2" type="noConversion"/>
  </si>
  <si>
    <t>ADC_NTC_AMBF</t>
    <phoneticPr fontId="2" type="noConversion"/>
  </si>
  <si>
    <t>ADC_NTC_PFC</t>
    <phoneticPr fontId="2" type="noConversion"/>
  </si>
  <si>
    <t>ADC_VAC_L</t>
    <phoneticPr fontId="2" type="noConversion"/>
  </si>
  <si>
    <t>ADC_VAC_N</t>
    <phoneticPr fontId="2" type="noConversion"/>
  </si>
  <si>
    <t>GPIO_VAC_B_OK_P</t>
  </si>
  <si>
    <t>GPIO_PSKILL_P</t>
  </si>
  <si>
    <t>GPIO_EN_PFC</t>
  </si>
  <si>
    <t>GPIO_EN_BB</t>
  </si>
  <si>
    <t>GPIO_SRVC_LED</t>
  </si>
  <si>
    <t>GPIO_O/P_LED</t>
  </si>
  <si>
    <t>GPIO_I/P_LED_Y</t>
  </si>
  <si>
    <t>GPIO_I/P_LED_G</t>
  </si>
  <si>
    <t>GPIO_RELAY_ON</t>
  </si>
  <si>
    <t>v</t>
    <phoneticPr fontId="2" type="noConversion"/>
  </si>
  <si>
    <t>v</t>
    <phoneticPr fontId="2" type="noConversion"/>
  </si>
  <si>
    <t>v</t>
    <phoneticPr fontId="2" type="noConversion"/>
  </si>
  <si>
    <t>Ambient temperature sensor</t>
    <phoneticPr fontId="2" type="noConversion"/>
  </si>
  <si>
    <t>PFC heatsink temperature sensor</t>
    <phoneticPr fontId="2" type="noConversion"/>
  </si>
  <si>
    <t>Input AC line</t>
    <phoneticPr fontId="2" type="noConversion"/>
  </si>
  <si>
    <t>ADC</t>
    <phoneticPr fontId="2" type="noConversion"/>
  </si>
  <si>
    <t>CMP</t>
    <phoneticPr fontId="2" type="noConversion"/>
  </si>
  <si>
    <t>DAC</t>
    <phoneticPr fontId="2" type="noConversion"/>
  </si>
  <si>
    <t>PWM</t>
    <phoneticPr fontId="2" type="noConversion"/>
  </si>
  <si>
    <t>CAP</t>
    <phoneticPr fontId="2" type="noConversion"/>
  </si>
  <si>
    <t>SCI</t>
    <phoneticPr fontId="2" type="noConversion"/>
  </si>
  <si>
    <t>ADC &amp; CMP</t>
    <phoneticPr fontId="2" type="noConversion"/>
  </si>
  <si>
    <t>DO</t>
    <phoneticPr fontId="2" type="noConversion"/>
  </si>
  <si>
    <t>DI</t>
    <phoneticPr fontId="2" type="noConversion"/>
  </si>
  <si>
    <t>ADC_CT2_I_PFC</t>
    <phoneticPr fontId="2" type="noConversion"/>
  </si>
  <si>
    <t>ADC_CT3_I_PFC</t>
    <phoneticPr fontId="2" type="noConversion"/>
  </si>
  <si>
    <t>ADC_CT4_I_PFC</t>
    <phoneticPr fontId="2" type="noConversion"/>
  </si>
  <si>
    <t>ADC_PK1_3_LIM</t>
    <phoneticPr fontId="2" type="noConversion"/>
  </si>
  <si>
    <t>ADC_PK2_4_LIM</t>
    <phoneticPr fontId="2" type="noConversion"/>
  </si>
  <si>
    <t>Inductor current of phase 1 PFC inductor current with input of CMP1_HP1</t>
    <phoneticPr fontId="2" type="noConversion"/>
  </si>
  <si>
    <t>SCIA_TX for internal Communication with secondary</t>
    <phoneticPr fontId="2" type="noConversion"/>
  </si>
  <si>
    <t>SCIA_RX for internal Communication with secondary</t>
    <phoneticPr fontId="2" type="noConversion"/>
  </si>
  <si>
    <t>PWM7_A for input SR</t>
    <phoneticPr fontId="2" type="noConversion"/>
  </si>
  <si>
    <t>PWM1_A for PFC phase 1</t>
    <phoneticPr fontId="2" type="noConversion"/>
  </si>
  <si>
    <t>PWM7_B for input SR</t>
    <phoneticPr fontId="2" type="noConversion"/>
  </si>
  <si>
    <t>DACB_OUT for debug</t>
    <phoneticPr fontId="2" type="noConversion"/>
  </si>
  <si>
    <t>DACA_OUT for debug</t>
    <phoneticPr fontId="2" type="noConversion"/>
  </si>
  <si>
    <t>Slope compensation refence of phase 1 and 3 with input of CMP1_HN0</t>
    <phoneticPr fontId="2" type="noConversion"/>
  </si>
  <si>
    <t>Slope compensation refence of phase 1 and 3 with input CMP2_HN0</t>
    <phoneticPr fontId="2" type="noConversion"/>
  </si>
  <si>
    <t>Capture1 for Fan2 speed detection</t>
    <phoneticPr fontId="2" type="noConversion"/>
  </si>
  <si>
    <t>Capture2 for Fan1 speed detection</t>
    <phoneticPr fontId="2" type="noConversion"/>
  </si>
  <si>
    <t xml:space="preserve">Heart beat LED / debug </t>
    <phoneticPr fontId="2" type="noConversion"/>
  </si>
  <si>
    <t>PWM2_A for PFC phase 2</t>
    <phoneticPr fontId="2" type="noConversion"/>
  </si>
  <si>
    <t xml:space="preserve">Input AC natural </t>
    <phoneticPr fontId="2" type="noConversion"/>
  </si>
  <si>
    <t>Input_OK signal</t>
    <phoneticPr fontId="2" type="noConversion"/>
  </si>
  <si>
    <t>PSKILL signal</t>
    <phoneticPr fontId="2" type="noConversion"/>
  </si>
  <si>
    <t>PFC drive enable signal</t>
    <phoneticPr fontId="2" type="noConversion"/>
  </si>
  <si>
    <t>Baby Boost enable signal</t>
    <phoneticPr fontId="2" type="noConversion"/>
  </si>
  <si>
    <t>LED control signal</t>
    <phoneticPr fontId="2" type="noConversion"/>
  </si>
  <si>
    <t>Relay control signal</t>
    <phoneticPr fontId="2" type="noConversion"/>
  </si>
  <si>
    <t>v</t>
    <phoneticPr fontId="2" type="noConversion"/>
  </si>
  <si>
    <t>ADC_VBULK</t>
    <phoneticPr fontId="2" type="noConversion"/>
  </si>
  <si>
    <t>ADC_CT1_I_PFC</t>
    <phoneticPr fontId="2" type="noConversion"/>
  </si>
  <si>
    <t>Inductor current of phase 2 PFC inductor current with input of CMP2_HP1</t>
    <phoneticPr fontId="2" type="noConversion"/>
  </si>
  <si>
    <t>Bulk voltage</t>
    <phoneticPr fontId="2" type="noConversion"/>
  </si>
  <si>
    <t>Inductor current of phase 4 PFC inductor current with input of CMP7_HP3</t>
    <phoneticPr fontId="2" type="noConversion"/>
  </si>
  <si>
    <t>Inductor current of phase 3 PFC inductor current with input of CMP6_HP3</t>
    <phoneticPr fontId="2" type="noConversion"/>
  </si>
  <si>
    <t>Slope compensation refence of phase 2 and 4 with input CMP6_HN1</t>
    <phoneticPr fontId="2" type="noConversion"/>
  </si>
  <si>
    <t>Slope compensation refence of phase 2 and 4 with input CMP7_HN1</t>
    <phoneticPr fontId="2" type="noConversion"/>
  </si>
  <si>
    <t>DAC_TEST1</t>
  </si>
  <si>
    <t>DAC_TEST2</t>
    <phoneticPr fontId="2" type="noConversion"/>
  </si>
  <si>
    <t>SCI_TX_PtS</t>
  </si>
  <si>
    <t>SCI_RX_PtS</t>
  </si>
  <si>
    <t>GPIO_DEBUG</t>
    <phoneticPr fontId="2" type="noConversion"/>
  </si>
  <si>
    <t>GPIO_FAN2_TACH</t>
    <phoneticPr fontId="2" type="noConversion"/>
  </si>
  <si>
    <t>GPIO_FAN1_TACH</t>
    <phoneticPr fontId="2" type="noConversion"/>
  </si>
  <si>
    <t>v</t>
    <phoneticPr fontId="2" type="noConversion"/>
  </si>
  <si>
    <t>EPWM7</t>
    <phoneticPr fontId="2" type="noConversion"/>
  </si>
  <si>
    <t>PWM6_B for Fan2 control</t>
    <phoneticPr fontId="2" type="noConversion"/>
  </si>
  <si>
    <t>PWM6_A for Fan1 control</t>
    <phoneticPr fontId="2" type="noConversion"/>
  </si>
  <si>
    <t>PWM3_A for PFC phase 3</t>
    <phoneticPr fontId="2" type="noConversion"/>
  </si>
  <si>
    <t>PWM4_A for PFC phase 4</t>
    <phoneticPr fontId="2" type="noConversion"/>
  </si>
  <si>
    <t>EPWM_FAN1_CTRL</t>
    <phoneticPr fontId="2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</si>
</sst>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0"/>
      <color rgb="FF00B050"/>
      <name val="Calibri"/>
      <family val="2"/>
    </font>
    <font>
      <sz val="10"/>
      <name val="Calibri"/>
      <family val="2"/>
    </font>
    <font>
      <sz val="12"/>
      <name val="新細明體"/>
      <family val="2"/>
      <charset val="136"/>
      <scheme val="minor"/>
    </font>
    <font>
      <sz val="12"/>
      <color theme="1"/>
      <name val="Calibri"/>
      <family val="2"/>
    </font>
    <font>
      <b/>
      <sz val="10"/>
      <name val="Calibri"/>
      <family val="2"/>
    </font>
    <font>
      <b/>
      <sz val="12"/>
      <color rgb="FF00B050"/>
      <name val="新細明體"/>
      <family val="2"/>
      <charset val="136"/>
      <scheme val="minor"/>
    </font>
    <font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</cellXfs>
  <cellStyles count="1">
    <cellStyle name="一般" xfId="0" builtinId="0"/>
  </cellStyles>
  <dxfs count="10">
    <dxf>
      <font>
        <color theme="0"/>
      </font>
    </dxf>
    <dxf>
      <font>
        <color auto="1"/>
      </font>
      <fill>
        <patternFill>
          <bgColor theme="0" tint="-4.9989318521683403E-2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7"/>
  <sheetViews>
    <sheetView workbookViewId="0">
      <selection activeCell="A3" sqref="A3"/>
    </sheetView>
  </sheetViews>
  <sheetFormatPr defaultRowHeight="16.5"/>
  <cols>
    <col min="2" max="2" width="9" style="12"/>
    <col min="3" max="3" width="48.375" style="11" customWidth="1"/>
    <col min="8" max="8" width="9.5" bestFit="1" customWidth="1"/>
  </cols>
  <sheetData>
    <row r="1" spans="1:7" ht="17.25" thickBot="1">
      <c r="A1" s="20" t="s">
        <v>26</v>
      </c>
      <c r="B1" s="19" t="s">
        <v>24</v>
      </c>
      <c r="C1" s="10" t="s">
        <v>25</v>
      </c>
      <c r="D1" s="8"/>
      <c r="E1" s="8"/>
      <c r="F1" s="4"/>
      <c r="G1" s="1"/>
    </row>
    <row r="2" spans="1:7" ht="25.5">
      <c r="A2" s="2" t="s">
        <v>274</v>
      </c>
      <c r="B2" s="8">
        <f t="array" aca="1" ref="B2" ca="1">OFFSET(Summary!$B$1,SMALL(IFERROR(IF(FIND($A$2,Summary!$C$1:$C$217)&gt;=1,ROW(Summary!$B$1:$B$217),),9999),ROW(Summary!1:1))-1,)</f>
        <v>1</v>
      </c>
      <c r="C2" s="18" t="str">
        <f t="array" aca="1" ref="C2" ca="1">OFFSET(Summary!$C$1,SMALL(IFERROR(IF(FIND($A$2,Summary!$C$1:$C$217)&gt;=1,ROW(Summary!$C$1:$C$217),),9999),ROW(Summary!1:1))-1,)</f>
        <v>GPIO28/ SCIA_RX/ EPWM7_A/ OUTPUTXBAR5/ EQEP1_A/ SD1_D3/ EQEP2_STROBE/ LINA_TX/ SPIB_CLK/ ERRORSTS</v>
      </c>
      <c r="D2" s="8"/>
      <c r="E2" s="8"/>
      <c r="F2" s="4"/>
      <c r="G2" s="1"/>
    </row>
    <row r="3" spans="1:7" ht="25.5">
      <c r="B3" s="8">
        <f t="array" aca="1" ref="B3" ca="1">OFFSET(Summary!$B$1,SMALL(IFERROR(IF(FIND($A$2,Summary!$C$1:$C$217)&gt;=1,ROW(Summary!$B$1:$B$217),),9999),ROW(Summary!2:2))-1,)</f>
        <v>50</v>
      </c>
      <c r="C3" s="18" t="str">
        <f t="array" aca="1" ref="C3" ca="1">OFFSET(Summary!$C$1,SMALL(IFERROR(IF(FIND($A$2,Summary!$C$1:$C$217)&gt;=1,ROW(Summary!$C$1:$C$217),),9999),ROW(Summary!2:2))-1,)</f>
        <v>GPIO13/ EPWM7_B/ CANB_RX/ EQEP1_INDEX/ SCIB_RX/ PMBUSA_ALERT/ FSIRXA_CLK</v>
      </c>
      <c r="D3" s="16"/>
      <c r="E3" s="8"/>
      <c r="F3" s="4"/>
      <c r="G3" s="4"/>
    </row>
    <row r="4" spans="1:7" ht="25.5">
      <c r="B4" s="8">
        <f t="array" aca="1" ref="B4" ca="1">OFFSET(Summary!$B$1,SMALL(IFERROR(IF(FIND($A$2,Summary!$C$1:$C$217)&gt;=1,ROW(Summary!$B$1:$B$217),),9999),ROW(Summary!3:3))-1,)</f>
        <v>51</v>
      </c>
      <c r="C4" s="18" t="str">
        <f t="array" aca="1" ref="C4" ca="1">OFFSET(Summary!$C$1,SMALL(IFERROR(IF(FIND($A$2,Summary!$C$1:$C$217)&gt;=1,ROW(Summary!$C$1:$C$217),),9999),ROW(Summary!3:3))-1,)</f>
        <v>GPIO12/ EPWM7_A/ CANB_TX/ EQEP1_STROBE/ SCIB_TX/ PMBUSA_CTL/ FSIRXA_D0</v>
      </c>
      <c r="D4" s="8"/>
      <c r="E4" s="8"/>
      <c r="F4" s="4"/>
      <c r="G4" s="4"/>
    </row>
    <row r="5" spans="1:7" ht="25.5">
      <c r="B5" s="8">
        <f t="array" aca="1" ref="B5" ca="1">OFFSET(Summary!$B$1,SMALL(IFERROR(IF(FIND($A$2,Summary!$C$1:$C$217)&gt;=1,ROW(Summary!$B$1:$B$217),),9999),ROW(Summary!4:4))-1,)</f>
        <v>100</v>
      </c>
      <c r="C5" s="18" t="str">
        <f t="array" aca="1" ref="C5" ca="1">OFFSET(Summary!$C$1,SMALL(IFERROR(IF(FIND($A$2,Summary!$C$1:$C$217)&gt;=1,ROW(Summary!$C$1:$C$217),),9999),ROW(Summary!4:4))-1,)</f>
        <v>GPIO29/ SCIA_TX/ EPWM7_B/ OUTPUTXBAR6/ EQEP1_B/ SD1_C3/ EQEP2_INDEX/ LINA_RX/ SPIB_STE/ ERRORSTS</v>
      </c>
      <c r="D5" s="8"/>
      <c r="E5" s="8"/>
      <c r="F5" s="4"/>
      <c r="G5" s="4"/>
    </row>
    <row r="6" spans="1:7">
      <c r="B6" s="8">
        <f t="array" aca="1" ref="B6" ca="1">OFFSET(Summary!$B$1,SMALL(IFERROR(IF(FIND($A$2,Summary!$C$1:$C$217)&gt;=1,ROW(Summary!$B$1:$B$217),),9999),ROW(Summary!5:5))-1,)</f>
        <v>0</v>
      </c>
      <c r="C6" s="18">
        <f t="array" aca="1" ref="C6" ca="1">OFFSET(Summary!$C$1,SMALL(IFERROR(IF(FIND($A$2,Summary!$C$1:$C$217)&gt;=1,ROW(Summary!$C$1:$C$217),),9999),ROW(Summary!5:5))-1,)</f>
        <v>0</v>
      </c>
      <c r="D6" s="8"/>
      <c r="E6" s="8"/>
      <c r="F6" s="4"/>
      <c r="G6" s="4"/>
    </row>
    <row r="7" spans="1:7">
      <c r="B7" s="8">
        <f t="array" aca="1" ref="B7" ca="1">OFFSET(Summary!$B$1,SMALL(IFERROR(IF(FIND($A$2,Summary!$C$1:$C$217)&gt;=1,ROW(Summary!$B$1:$B$217),),9999),ROW(Summary!6:6))-1,)</f>
        <v>0</v>
      </c>
      <c r="C7" s="18">
        <f t="array" aca="1" ref="C7" ca="1">OFFSET(Summary!$C$1,SMALL(IFERROR(IF(FIND($A$2,Summary!$C$1:$C$217)&gt;=1,ROW(Summary!$C$1:$C$217),),9999),ROW(Summary!6:6))-1,)</f>
        <v>0</v>
      </c>
      <c r="D7" s="8"/>
      <c r="E7" s="8"/>
      <c r="F7" s="4"/>
      <c r="G7" s="4"/>
    </row>
    <row r="8" spans="1:7">
      <c r="B8" s="8">
        <f t="array" aca="1" ref="B8" ca="1">OFFSET(Summary!$B$1,SMALL(IFERROR(IF(FIND($A$2,Summary!$C$1:$C$217)&gt;=1,ROW(Summary!$B$1:$B$217),),9999),ROW(Summary!7:7))-1,)</f>
        <v>0</v>
      </c>
      <c r="C8" s="18">
        <f t="array" aca="1" ref="C8" ca="1">OFFSET(Summary!$C$1,SMALL(IFERROR(IF(FIND($A$2,Summary!$C$1:$C$217)&gt;=1,ROW(Summary!$C$1:$C$217),),9999),ROW(Summary!7:7))-1,)</f>
        <v>0</v>
      </c>
      <c r="D8" s="8"/>
      <c r="E8" s="8"/>
      <c r="F8" s="4"/>
      <c r="G8" s="4"/>
    </row>
    <row r="9" spans="1:7">
      <c r="B9" s="8">
        <f t="array" aca="1" ref="B9" ca="1">OFFSET(Summary!$B$1,SMALL(IFERROR(IF(FIND($A$2,Summary!$C$1:$C$217)&gt;=1,ROW(Summary!$B$1:$B$217),),9999),ROW(Summary!8:8))-1,)</f>
        <v>0</v>
      </c>
      <c r="C9" s="18">
        <f t="array" aca="1" ref="C9" ca="1">OFFSET(Summary!$C$1,SMALL(IFERROR(IF(FIND($A$2,Summary!$C$1:$C$217)&gt;=1,ROW(Summary!$C$1:$C$217),),9999),ROW(Summary!8:8))-1,)</f>
        <v>0</v>
      </c>
      <c r="D9" s="16"/>
      <c r="E9" s="8"/>
      <c r="F9" s="4"/>
      <c r="G9" s="4"/>
    </row>
    <row r="10" spans="1:7">
      <c r="B10" s="8">
        <f t="array" aca="1" ref="B10" ca="1">OFFSET(Summary!$B$1,SMALL(IFERROR(IF(FIND($A$2,Summary!$C$1:$C$217)&gt;=1,ROW(Summary!$B$1:$B$217),),9999),ROW(Summary!9:9))-1,)</f>
        <v>0</v>
      </c>
      <c r="C10" s="18">
        <f t="array" aca="1" ref="C10" ca="1">OFFSET(Summary!$C$1,SMALL(IFERROR(IF(FIND($A$2,Summary!$C$1:$C$217)&gt;=1,ROW(Summary!$C$1:$C$217),),9999),ROW(Summary!9:9))-1,)</f>
        <v>0</v>
      </c>
      <c r="D10" s="8"/>
      <c r="E10" s="8"/>
      <c r="F10" s="4"/>
      <c r="G10" s="4"/>
    </row>
    <row r="11" spans="1:7">
      <c r="B11" s="8">
        <f t="array" aca="1" ref="B11" ca="1">OFFSET(Summary!$B$1,SMALL(IFERROR(IF(FIND($A$2,Summary!$C$1:$C$217)&gt;=1,ROW(Summary!$B$1:$B$217),),9999),ROW(Summary!10:10))-1,)</f>
        <v>0</v>
      </c>
      <c r="C11" s="18">
        <f t="array" aca="1" ref="C11" ca="1">OFFSET(Summary!$C$1,SMALL(IFERROR(IF(FIND($A$2,Summary!$C$1:$C$217)&gt;=1,ROW(Summary!$C$1:$C$217),),9999),ROW(Summary!10:10))-1,)</f>
        <v>0</v>
      </c>
      <c r="D11" s="8"/>
      <c r="E11" s="8"/>
      <c r="F11" s="4"/>
      <c r="G11" s="4"/>
    </row>
    <row r="12" spans="1:7">
      <c r="B12" s="8">
        <f t="array" aca="1" ref="B12" ca="1">OFFSET(Summary!$B$1,SMALL(IFERROR(IF(FIND($A$2,Summary!$C$1:$C$217)&gt;=1,ROW(Summary!$B$1:$B$217),),9999),ROW(Summary!11:11))-1,)</f>
        <v>0</v>
      </c>
      <c r="C12" s="18">
        <f t="array" aca="1" ref="C12" ca="1">OFFSET(Summary!$C$1,SMALL(IFERROR(IF(FIND($A$2,Summary!$C$1:$C$217)&gt;=1,ROW(Summary!$C$1:$C$217),),9999),ROW(Summary!11:11))-1,)</f>
        <v>0</v>
      </c>
      <c r="D12" s="8"/>
      <c r="E12" s="8"/>
      <c r="F12" s="4"/>
      <c r="G12" s="4"/>
    </row>
    <row r="13" spans="1:7">
      <c r="B13" s="8">
        <f t="array" aca="1" ref="B13" ca="1">OFFSET(Summary!$B$1,SMALL(IFERROR(IF(FIND($A$2,Summary!$C$1:$C$217)&gt;=1,ROW(Summary!$B$1:$B$217),),9999),ROW(Summary!12:12))-1,)</f>
        <v>0</v>
      </c>
      <c r="C13" s="18">
        <f t="array" aca="1" ref="C13" ca="1">OFFSET(Summary!$C$1,SMALL(IFERROR(IF(FIND($A$2,Summary!$C$1:$C$217)&gt;=1,ROW(Summary!$C$1:$C$217),),9999),ROW(Summary!12:12))-1,)</f>
        <v>0</v>
      </c>
      <c r="D13" s="8"/>
      <c r="E13" s="8"/>
      <c r="F13" s="4"/>
      <c r="G13" s="4"/>
    </row>
    <row r="14" spans="1:7">
      <c r="B14" s="8">
        <f t="array" aca="1" ref="B14" ca="1">OFFSET(Summary!$B$1,SMALL(IFERROR(IF(FIND($A$2,Summary!$C$1:$C$217)&gt;=1,ROW(Summary!$B$1:$B$217),),9999),ROW(Summary!13:13))-1,)</f>
        <v>0</v>
      </c>
      <c r="C14" s="18">
        <f t="array" aca="1" ref="C14" ca="1">OFFSET(Summary!$C$1,SMALL(IFERROR(IF(FIND($A$2,Summary!$C$1:$C$217)&gt;=1,ROW(Summary!$C$1:$C$217),),9999),ROW(Summary!13:13))-1,)</f>
        <v>0</v>
      </c>
      <c r="D14" s="8"/>
      <c r="E14" s="8"/>
      <c r="F14" s="4"/>
      <c r="G14" s="4"/>
    </row>
    <row r="15" spans="1:7">
      <c r="B15" s="8">
        <f t="array" aca="1" ref="B15" ca="1">OFFSET(Summary!$B$1,SMALL(IFERROR(IF(FIND($A$2,Summary!$C$1:$C$217)&gt;=1,ROW(Summary!$B$1:$B$217),),9999),ROW(Summary!14:14))-1,)</f>
        <v>0</v>
      </c>
      <c r="C15" s="18">
        <f t="array" aca="1" ref="C15" ca="1">OFFSET(Summary!$C$1,SMALL(IFERROR(IF(FIND($A$2,Summary!$C$1:$C$217)&gt;=1,ROW(Summary!$C$1:$C$217),),9999),ROW(Summary!14:14))-1,)</f>
        <v>0</v>
      </c>
      <c r="D15" s="8"/>
      <c r="E15" s="8"/>
      <c r="F15" s="4"/>
      <c r="G15" s="4"/>
    </row>
    <row r="16" spans="1:7">
      <c r="B16" s="8">
        <f t="array" aca="1" ref="B16" ca="1">OFFSET(Summary!$B$1,SMALL(IFERROR(IF(FIND($A$2,Summary!$C$1:$C$217)&gt;=1,ROW(Summary!$B$1:$B$217),),9999),ROW(Summary!15:15))-1,)</f>
        <v>0</v>
      </c>
      <c r="C16" s="18">
        <f t="array" aca="1" ref="C16" ca="1">OFFSET(Summary!$C$1,SMALL(IFERROR(IF(FIND($A$2,Summary!$C$1:$C$217)&gt;=1,ROW(Summary!$C$1:$C$217),),9999),ROW(Summary!15:15))-1,)</f>
        <v>0</v>
      </c>
      <c r="D16" s="8"/>
      <c r="E16" s="8"/>
      <c r="F16" s="4"/>
      <c r="G16" s="4"/>
    </row>
    <row r="17" spans="2:7">
      <c r="B17" s="8">
        <f t="array" aca="1" ref="B17" ca="1">OFFSET(Summary!$B$1,SMALL(IFERROR(IF(FIND($A$2,Summary!$C$1:$C$217)&gt;=1,ROW(Summary!$B$1:$B$217),),9999),ROW(Summary!16:16))-1,)</f>
        <v>0</v>
      </c>
      <c r="C17" s="18">
        <f t="array" aca="1" ref="C17" ca="1">OFFSET(Summary!$C$1,SMALL(IFERROR(IF(FIND($A$2,Summary!$C$1:$C$217)&gt;=1,ROW(Summary!$C$1:$C$217),),9999),ROW(Summary!16:16))-1,)</f>
        <v>0</v>
      </c>
      <c r="D17" s="8"/>
      <c r="E17" s="8"/>
      <c r="F17" s="4"/>
      <c r="G17" s="4"/>
    </row>
    <row r="18" spans="2:7">
      <c r="B18" s="8">
        <f t="array" aca="1" ref="B18" ca="1">OFFSET(Summary!$B$1,SMALL(IFERROR(IF(FIND($A$2,Summary!$C$1:$C$217)&gt;=1,ROW(Summary!$B$1:$B$217),),9999),ROW(Summary!17:17))-1,)</f>
        <v>0</v>
      </c>
      <c r="C18" s="18">
        <f t="array" aca="1" ref="C18" ca="1">OFFSET(Summary!$C$1,SMALL(IFERROR(IF(FIND($A$2,Summary!$C$1:$C$217)&gt;=1,ROW(Summary!$C$1:$C$217),),9999),ROW(Summary!17:17))-1,)</f>
        <v>0</v>
      </c>
      <c r="D18" s="8"/>
      <c r="E18" s="8"/>
      <c r="F18" s="4"/>
      <c r="G18" s="4"/>
    </row>
    <row r="19" spans="2:7">
      <c r="B19" s="8">
        <f t="array" aca="1" ref="B19" ca="1">OFFSET(Summary!$B$1,SMALL(IFERROR(IF(FIND($A$2,Summary!$C$1:$C$217)&gt;=1,ROW(Summary!$B$1:$B$217),),9999),ROW(Summary!18:18))-1,)</f>
        <v>0</v>
      </c>
      <c r="C19" s="18">
        <f t="array" aca="1" ref="C19" ca="1">OFFSET(Summary!$C$1,SMALL(IFERROR(IF(FIND($A$2,Summary!$C$1:$C$217)&gt;=1,ROW(Summary!$C$1:$C$217),),9999),ROW(Summary!18:18))-1,)</f>
        <v>0</v>
      </c>
      <c r="D19" s="8"/>
      <c r="E19" s="8"/>
      <c r="F19" s="4"/>
      <c r="G19" s="4"/>
    </row>
    <row r="20" spans="2:7">
      <c r="B20" s="8">
        <f t="array" aca="1" ref="B20" ca="1">OFFSET(Summary!$B$1,SMALL(IFERROR(IF(FIND($A$2,Summary!$C$1:$C$217)&gt;=1,ROW(Summary!$B$1:$B$217),),9999),ROW(Summary!19:19))-1,)</f>
        <v>0</v>
      </c>
      <c r="C20" s="18">
        <f t="array" aca="1" ref="C20" ca="1">OFFSET(Summary!$C$1,SMALL(IFERROR(IF(FIND($A$2,Summary!$C$1:$C$217)&gt;=1,ROW(Summary!$C$1:$C$217),),9999),ROW(Summary!19:19))-1,)</f>
        <v>0</v>
      </c>
      <c r="D20" s="8"/>
      <c r="E20" s="8"/>
      <c r="F20" s="4"/>
      <c r="G20" s="4"/>
    </row>
    <row r="21" spans="2:7">
      <c r="B21" s="8">
        <f t="array" aca="1" ref="B21" ca="1">OFFSET(Summary!$B$1,SMALL(IFERROR(IF(FIND($A$2,Summary!$C$1:$C$217)&gt;=1,ROW(Summary!$B$1:$B$217),),9999),ROW(Summary!20:20))-1,)</f>
        <v>0</v>
      </c>
      <c r="C21" s="18">
        <f t="array" aca="1" ref="C21" ca="1">OFFSET(Summary!$C$1,SMALL(IFERROR(IF(FIND($A$2,Summary!$C$1:$C$217)&gt;=1,ROW(Summary!$C$1:$C$217),),9999),ROW(Summary!20:20))-1,)</f>
        <v>0</v>
      </c>
      <c r="D21" s="8"/>
      <c r="E21" s="8"/>
      <c r="F21" s="4"/>
      <c r="G21" s="4"/>
    </row>
    <row r="22" spans="2:7">
      <c r="B22" s="8">
        <f t="array" aca="1" ref="B22" ca="1">OFFSET(Summary!$B$1,SMALL(IFERROR(IF(FIND($A$2,Summary!$C$1:$C$217)&gt;=1,ROW(Summary!$B$1:$B$217),),9999),ROW(Summary!21:21))-1,)</f>
        <v>0</v>
      </c>
      <c r="C22" s="18">
        <f t="array" aca="1" ref="C22" ca="1">OFFSET(Summary!$C$1,SMALL(IFERROR(IF(FIND($A$2,Summary!$C$1:$C$217)&gt;=1,ROW(Summary!$C$1:$C$217),),9999),ROW(Summary!21:21))-1,)</f>
        <v>0</v>
      </c>
      <c r="D22" s="8"/>
      <c r="E22" s="8"/>
      <c r="F22" s="4"/>
      <c r="G22" s="4"/>
    </row>
    <row r="23" spans="2:7">
      <c r="B23" s="8">
        <f t="array" aca="1" ref="B23" ca="1">OFFSET(Summary!$B$1,SMALL(IFERROR(IF(FIND($A$2,Summary!$C$1:$C$217)&gt;=1,ROW(Summary!$B$1:$B$217),),9999),ROW(Summary!22:22))-1,)</f>
        <v>0</v>
      </c>
      <c r="C23" s="18">
        <f t="array" aca="1" ref="C23" ca="1">OFFSET(Summary!$C$1,SMALL(IFERROR(IF(FIND($A$2,Summary!$C$1:$C$217)&gt;=1,ROW(Summary!$C$1:$C$217),),9999),ROW(Summary!22:22))-1,)</f>
        <v>0</v>
      </c>
      <c r="D23" s="8"/>
      <c r="E23" s="8"/>
      <c r="F23" s="4"/>
      <c r="G23" s="4"/>
    </row>
    <row r="24" spans="2:7">
      <c r="B24" s="8">
        <f t="array" aca="1" ref="B24" ca="1">OFFSET(Summary!$B$1,SMALL(IFERROR(IF(FIND($A$2,Summary!$C$1:$C$217)&gt;=1,ROW(Summary!$B$1:$B$217),),9999),ROW(Summary!23:23))-1,)</f>
        <v>0</v>
      </c>
      <c r="C24" s="18">
        <f t="array" aca="1" ref="C24" ca="1">OFFSET(Summary!$C$1,SMALL(IFERROR(IF(FIND($A$2,Summary!$C$1:$C$217)&gt;=1,ROW(Summary!$C$1:$C$217),),9999),ROW(Summary!23:23))-1,)</f>
        <v>0</v>
      </c>
      <c r="D24" s="8"/>
      <c r="E24" s="8"/>
      <c r="F24" s="4"/>
      <c r="G24" s="4"/>
    </row>
    <row r="25" spans="2:7">
      <c r="B25" s="8">
        <f t="array" aca="1" ref="B25" ca="1">OFFSET(Summary!$B$1,SMALL(IFERROR(IF(FIND($A$2,Summary!$C$1:$C$217)&gt;=1,ROW(Summary!$B$1:$B$217),),9999),ROW(Summary!24:24))-1,)</f>
        <v>0</v>
      </c>
      <c r="C25" s="18">
        <f t="array" aca="1" ref="C25" ca="1">OFFSET(Summary!$C$1,SMALL(IFERROR(IF(FIND($A$2,Summary!$C$1:$C$217)&gt;=1,ROW(Summary!$C$1:$C$217),),9999),ROW(Summary!24:24))-1,)</f>
        <v>0</v>
      </c>
      <c r="D25" s="8"/>
      <c r="E25" s="8"/>
      <c r="F25" s="4"/>
      <c r="G25" s="4"/>
    </row>
    <row r="26" spans="2:7">
      <c r="B26" s="8">
        <f t="array" aca="1" ref="B26" ca="1">OFFSET(Summary!$B$1,SMALL(IFERROR(IF(FIND($A$2,Summary!$C$1:$C$217)&gt;=1,ROW(Summary!$B$1:$B$217),),9999),ROW(Summary!25:25))-1,)</f>
        <v>0</v>
      </c>
      <c r="C26" s="18">
        <f t="array" aca="1" ref="C26" ca="1">OFFSET(Summary!$C$1,SMALL(IFERROR(IF(FIND($A$2,Summary!$C$1:$C$217)&gt;=1,ROW(Summary!$C$1:$C$217),),9999),ROW(Summary!25:25))-1,)</f>
        <v>0</v>
      </c>
      <c r="D26" s="16"/>
      <c r="E26" s="8"/>
      <c r="F26" s="4"/>
      <c r="G26" s="4"/>
    </row>
    <row r="27" spans="2:7">
      <c r="B27" s="8">
        <f t="array" aca="1" ref="B27" ca="1">OFFSET(Summary!$B$1,SMALL(IFERROR(IF(FIND($A$2,Summary!$C$1:$C$217)&gt;=1,ROW(Summary!$B$1:$B$217),),9999),ROW(Summary!26:26))-1,)</f>
        <v>0</v>
      </c>
      <c r="C27" s="18">
        <f t="array" aca="1" ref="C27" ca="1">OFFSET(Summary!$C$1,SMALL(IFERROR(IF(FIND($A$2,Summary!$C$1:$C$217)&gt;=1,ROW(Summary!$C$1:$C$217),),9999),ROW(Summary!26:26))-1,)</f>
        <v>0</v>
      </c>
      <c r="D27" s="8"/>
      <c r="E27" s="8"/>
      <c r="F27" s="4"/>
      <c r="G27" s="4"/>
    </row>
    <row r="28" spans="2:7">
      <c r="B28" s="8">
        <f t="array" aca="1" ref="B28" ca="1">OFFSET(Summary!$B$1,SMALL(IFERROR(IF(FIND($A$2,Summary!$C$1:$C$217)&gt;=1,ROW(Summary!$B$1:$B$217),),9999),ROW(Summary!27:27))-1,)</f>
        <v>0</v>
      </c>
      <c r="C28" s="18">
        <f t="array" aca="1" ref="C28" ca="1">OFFSET(Summary!$C$1,SMALL(IFERROR(IF(FIND($A$2,Summary!$C$1:$C$217)&gt;=1,ROW(Summary!$C$1:$C$217),),9999),ROW(Summary!27:27))-1,)</f>
        <v>0</v>
      </c>
      <c r="D28" s="8"/>
      <c r="E28" s="8"/>
      <c r="F28" s="4"/>
      <c r="G28" s="4"/>
    </row>
    <row r="29" spans="2:7">
      <c r="B29" s="8">
        <f t="array" aca="1" ref="B29" ca="1">OFFSET(Summary!$B$1,SMALL(IFERROR(IF(FIND($A$2,Summary!$C$1:$C$217)&gt;=1,ROW(Summary!$B$1:$B$217),),9999),ROW(Summary!28:28))-1,)</f>
        <v>0</v>
      </c>
      <c r="C29" s="18">
        <f t="array" aca="1" ref="C29" ca="1">OFFSET(Summary!$C$1,SMALL(IFERROR(IF(FIND($A$2,Summary!$C$1:$C$217)&gt;=1,ROW(Summary!$C$1:$C$217),),9999),ROW(Summary!28:28))-1,)</f>
        <v>0</v>
      </c>
      <c r="D29" s="8"/>
      <c r="E29" s="8"/>
      <c r="F29" s="4"/>
      <c r="G29" s="4"/>
    </row>
    <row r="30" spans="2:7">
      <c r="B30" s="8">
        <f t="array" aca="1" ref="B30" ca="1">OFFSET(Summary!$B$1,SMALL(IFERROR(IF(FIND($A$2,Summary!$C$1:$C$217)&gt;=1,ROW(Summary!$B$1:$B$217),),9999),ROW(Summary!29:29))-1,)</f>
        <v>0</v>
      </c>
      <c r="C30" s="18">
        <f t="array" aca="1" ref="C30" ca="1">OFFSET(Summary!$C$1,SMALL(IFERROR(IF(FIND($A$2,Summary!$C$1:$C$217)&gt;=1,ROW(Summary!$C$1:$C$217),),9999),ROW(Summary!29:29))-1,)</f>
        <v>0</v>
      </c>
      <c r="D30" s="8"/>
      <c r="E30" s="8"/>
      <c r="F30" s="4"/>
      <c r="G30" s="4"/>
    </row>
    <row r="31" spans="2:7">
      <c r="B31" s="8">
        <f t="array" aca="1" ref="B31" ca="1">OFFSET(Summary!$B$1,SMALL(IFERROR(IF(FIND($A$2,Summary!$C$1:$C$217)&gt;=1,ROW(Summary!$B$1:$B$217),),9999),ROW(Summary!30:30))-1,)</f>
        <v>0</v>
      </c>
      <c r="C31" s="18">
        <f t="array" aca="1" ref="C31" ca="1">OFFSET(Summary!$C$1,SMALL(IFERROR(IF(FIND($A$2,Summary!$C$1:$C$217)&gt;=1,ROW(Summary!$C$1:$C$217),),9999),ROW(Summary!30:30))-1,)</f>
        <v>0</v>
      </c>
      <c r="D31" s="8"/>
      <c r="E31" s="8"/>
      <c r="F31" s="4"/>
      <c r="G31" s="4"/>
    </row>
    <row r="32" spans="2:7">
      <c r="B32" s="8">
        <f t="array" aca="1" ref="B32" ca="1">OFFSET(Summary!$B$1,SMALL(IFERROR(IF(FIND($A$2,Summary!$C$1:$C$217)&gt;=1,ROW(Summary!$B$1:$B$217),),9999),ROW(Summary!31:31))-1,)</f>
        <v>0</v>
      </c>
      <c r="C32" s="18">
        <f t="array" aca="1" ref="C32" ca="1">OFFSET(Summary!$C$1,SMALL(IFERROR(IF(FIND($A$2,Summary!$C$1:$C$217)&gt;=1,ROW(Summary!$C$1:$C$217),),9999),ROW(Summary!31:31))-1,)</f>
        <v>0</v>
      </c>
      <c r="D32" s="16"/>
      <c r="E32" s="8"/>
      <c r="F32" s="8"/>
      <c r="G32" s="4"/>
    </row>
    <row r="33" spans="2:7">
      <c r="B33" s="8">
        <f t="array" aca="1" ref="B33" ca="1">OFFSET(Summary!$B$1,SMALL(IFERROR(IF(FIND($A$2,Summary!$C$1:$C$217)&gt;=1,ROW(Summary!$B$1:$B$217),),9999),ROW(Summary!32:32))-1,)</f>
        <v>0</v>
      </c>
      <c r="C33" s="18">
        <f t="array" aca="1" ref="C33" ca="1">OFFSET(Summary!$C$1,SMALL(IFERROR(IF(FIND($A$2,Summary!$C$1:$C$217)&gt;=1,ROW(Summary!$C$1:$C$217),),9999),ROW(Summary!32:32))-1,)</f>
        <v>0</v>
      </c>
      <c r="D33" s="17"/>
      <c r="E33" s="8"/>
      <c r="F33" s="8"/>
      <c r="G33" s="4"/>
    </row>
    <row r="34" spans="2:7">
      <c r="B34" s="8">
        <f t="array" aca="1" ref="B34" ca="1">OFFSET(Summary!$B$1,SMALL(IFERROR(IF(FIND($A$2,Summary!$C$1:$C$217)&gt;=1,ROW(Summary!$B$1:$B$217),),9999),ROW(Summary!33:33))-1,)</f>
        <v>0</v>
      </c>
      <c r="C34" s="18">
        <f t="array" aca="1" ref="C34" ca="1">OFFSET(Summary!$C$1,SMALL(IFERROR(IF(FIND($A$2,Summary!$C$1:$C$217)&gt;=1,ROW(Summary!$C$1:$C$217),),9999),ROW(Summary!33:33))-1,)</f>
        <v>0</v>
      </c>
      <c r="D34" s="17"/>
      <c r="E34" s="8"/>
      <c r="F34" s="8"/>
      <c r="G34" s="4"/>
    </row>
    <row r="35" spans="2:7">
      <c r="B35" s="8">
        <f t="array" aca="1" ref="B35" ca="1">OFFSET(Summary!$B$1,SMALL(IFERROR(IF(FIND($A$2,Summary!$C$1:$C$217)&gt;=1,ROW(Summary!$B$1:$B$217),),9999),ROW(Summary!34:34))-1,)</f>
        <v>0</v>
      </c>
      <c r="C35" s="18">
        <f t="array" aca="1" ref="C35" ca="1">OFFSET(Summary!$C$1,SMALL(IFERROR(IF(FIND($A$2,Summary!$C$1:$C$217)&gt;=1,ROW(Summary!$C$1:$C$217),),9999),ROW(Summary!34:34))-1,)</f>
        <v>0</v>
      </c>
      <c r="D35" s="17"/>
      <c r="E35" s="8"/>
      <c r="F35" s="8"/>
      <c r="G35" s="4"/>
    </row>
    <row r="36" spans="2:7">
      <c r="B36" s="8">
        <f t="array" aca="1" ref="B36" ca="1">OFFSET(Summary!$B$1,SMALL(IFERROR(IF(FIND($A$2,Summary!$C$1:$C$217)&gt;=1,ROW(Summary!$B$1:$B$217),),9999),ROW(Summary!35:35))-1,)</f>
        <v>0</v>
      </c>
      <c r="C36" s="18">
        <f t="array" aca="1" ref="C36" ca="1">OFFSET(Summary!$C$1,SMALL(IFERROR(IF(FIND($A$2,Summary!$C$1:$C$217)&gt;=1,ROW(Summary!$C$1:$C$217),),9999),ROW(Summary!35:35))-1,)</f>
        <v>0</v>
      </c>
      <c r="D36" s="17"/>
      <c r="E36" s="8"/>
      <c r="F36" s="8"/>
      <c r="G36" s="4"/>
    </row>
    <row r="37" spans="2:7">
      <c r="B37" s="8">
        <f t="array" aca="1" ref="B37" ca="1">OFFSET(Summary!$B$1,SMALL(IFERROR(IF(FIND($A$2,Summary!$C$1:$C$217)&gt;=1,ROW(Summary!$B$1:$B$217),),9999),ROW(Summary!36:36))-1,)</f>
        <v>0</v>
      </c>
      <c r="C37" s="18">
        <f t="array" aca="1" ref="C37" ca="1">OFFSET(Summary!$C$1,SMALL(IFERROR(IF(FIND($A$2,Summary!$C$1:$C$217)&gt;=1,ROW(Summary!$C$1:$C$217),),9999),ROW(Summary!36:36))-1,)</f>
        <v>0</v>
      </c>
      <c r="D37" s="17"/>
      <c r="E37" s="8"/>
      <c r="F37" s="8"/>
      <c r="G37" s="4"/>
    </row>
    <row r="38" spans="2:7">
      <c r="B38" s="8">
        <f t="array" aca="1" ref="B38" ca="1">OFFSET(Summary!$B$1,SMALL(IFERROR(IF(FIND($A$2,Summary!$C$1:$C$217)&gt;=1,ROW(Summary!$B$1:$B$217),),9999),ROW(Summary!37:37))-1,)</f>
        <v>0</v>
      </c>
      <c r="C38" s="18">
        <f t="array" aca="1" ref="C38" ca="1">OFFSET(Summary!$C$1,SMALL(IFERROR(IF(FIND($A$2,Summary!$C$1:$C$217)&gt;=1,ROW(Summary!$C$1:$C$217),),9999),ROW(Summary!37:37))-1,)</f>
        <v>0</v>
      </c>
      <c r="D38" s="17"/>
      <c r="E38" s="8"/>
      <c r="F38" s="8"/>
      <c r="G38" s="4"/>
    </row>
    <row r="39" spans="2:7">
      <c r="B39" s="8">
        <f t="array" aca="1" ref="B39" ca="1">OFFSET(Summary!$B$1,SMALL(IFERROR(IF(FIND($A$2,Summary!$C$1:$C$217)&gt;=1,ROW(Summary!$B$1:$B$217),),9999),ROW(Summary!38:38))-1,)</f>
        <v>0</v>
      </c>
      <c r="C39" s="18">
        <f t="array" aca="1" ref="C39" ca="1">OFFSET(Summary!$C$1,SMALL(IFERROR(IF(FIND($A$2,Summary!$C$1:$C$217)&gt;=1,ROW(Summary!$C$1:$C$217),),9999),ROW(Summary!38:38))-1,)</f>
        <v>0</v>
      </c>
      <c r="D39" s="17"/>
      <c r="E39" s="8"/>
      <c r="F39" s="8"/>
      <c r="G39" s="4"/>
    </row>
    <row r="40" spans="2:7">
      <c r="B40" s="8">
        <f t="array" aca="1" ref="B40" ca="1">OFFSET(Summary!$B$1,SMALL(IFERROR(IF(FIND($A$2,Summary!$C$1:$C$217)&gt;=1,ROW(Summary!$B$1:$B$217),),9999),ROW(Summary!39:39))-1,)</f>
        <v>0</v>
      </c>
      <c r="C40" s="18">
        <f t="array" aca="1" ref="C40" ca="1">OFFSET(Summary!$C$1,SMALL(IFERROR(IF(FIND($A$2,Summary!$C$1:$C$217)&gt;=1,ROW(Summary!$C$1:$C$217),),9999),ROW(Summary!39:39))-1,)</f>
        <v>0</v>
      </c>
      <c r="D40" s="17"/>
      <c r="E40" s="8"/>
      <c r="F40" s="8"/>
      <c r="G40" s="4"/>
    </row>
    <row r="41" spans="2:7">
      <c r="B41" s="8">
        <f t="array" aca="1" ref="B41" ca="1">OFFSET(Summary!$B$1,SMALL(IFERROR(IF(FIND($A$2,Summary!$C$1:$C$217)&gt;=1,ROW(Summary!$B$1:$B$217),),9999),ROW(Summary!40:40))-1,)</f>
        <v>0</v>
      </c>
      <c r="C41" s="18">
        <f t="array" aca="1" ref="C41" ca="1">OFFSET(Summary!$C$1,SMALL(IFERROR(IF(FIND($A$2,Summary!$C$1:$C$217)&gt;=1,ROW(Summary!$C$1:$C$217),),9999),ROW(Summary!40:40))-1,)</f>
        <v>0</v>
      </c>
      <c r="D41" s="17"/>
      <c r="E41" s="8"/>
      <c r="F41" s="8"/>
      <c r="G41" s="4"/>
    </row>
    <row r="42" spans="2:7">
      <c r="B42" s="8">
        <f t="array" aca="1" ref="B42" ca="1">OFFSET(Summary!$B$1,SMALL(IFERROR(IF(FIND($A$2,Summary!$C$1:$C$217)&gt;=1,ROW(Summary!$B$1:$B$217),),9999),ROW(Summary!41:41))-1,)</f>
        <v>0</v>
      </c>
      <c r="C42" s="18">
        <f t="array" aca="1" ref="C42" ca="1">OFFSET(Summary!$C$1,SMALL(IFERROR(IF(FIND($A$2,Summary!$C$1:$C$217)&gt;=1,ROW(Summary!$C$1:$C$217),),9999),ROW(Summary!41:41))-1,)</f>
        <v>0</v>
      </c>
      <c r="D42" s="17"/>
      <c r="E42" s="8"/>
      <c r="F42" s="8"/>
      <c r="G42" s="4"/>
    </row>
    <row r="43" spans="2:7">
      <c r="B43" s="8">
        <f t="array" aca="1" ref="B43" ca="1">OFFSET(Summary!$B$1,SMALL(IFERROR(IF(FIND($A$2,Summary!$C$1:$C$217)&gt;=1,ROW(Summary!$B$1:$B$217),),9999),ROW(Summary!42:42))-1,)</f>
        <v>0</v>
      </c>
      <c r="C43" s="18">
        <f t="array" aca="1" ref="C43" ca="1">OFFSET(Summary!$C$1,SMALL(IFERROR(IF(FIND($A$2,Summary!$C$1:$C$217)&gt;=1,ROW(Summary!$C$1:$C$217),),9999),ROW(Summary!42:42))-1,)</f>
        <v>0</v>
      </c>
      <c r="D43" s="17"/>
      <c r="E43" s="8"/>
      <c r="F43" s="8"/>
      <c r="G43" s="4"/>
    </row>
    <row r="44" spans="2:7">
      <c r="B44" s="8">
        <f t="array" aca="1" ref="B44" ca="1">OFFSET(Summary!$B$1,SMALL(IFERROR(IF(FIND($A$2,Summary!$C$1:$C$217)&gt;=1,ROW(Summary!$B$1:$B$217),),9999),ROW(Summary!43:43))-1,)</f>
        <v>0</v>
      </c>
      <c r="C44" s="18">
        <f t="array" aca="1" ref="C44" ca="1">OFFSET(Summary!$C$1,SMALL(IFERROR(IF(FIND($A$2,Summary!$C$1:$C$217)&gt;=1,ROW(Summary!$C$1:$C$217),),9999),ROW(Summary!43:43))-1,)</f>
        <v>0</v>
      </c>
      <c r="D44" s="17"/>
      <c r="E44" s="8"/>
      <c r="F44" s="8"/>
      <c r="G44" s="4"/>
    </row>
    <row r="45" spans="2:7">
      <c r="B45" s="8">
        <f t="array" aca="1" ref="B45" ca="1">OFFSET(Summary!$B$1,SMALL(IFERROR(IF(FIND($A$2,Summary!$C$1:$C$217)&gt;=1,ROW(Summary!$B$1:$B$217),),9999),ROW(Summary!44:44))-1,)</f>
        <v>0</v>
      </c>
      <c r="C45" s="18">
        <f t="array" aca="1" ref="C45" ca="1">OFFSET(Summary!$C$1,SMALL(IFERROR(IF(FIND($A$2,Summary!$C$1:$C$217)&gt;=1,ROW(Summary!$C$1:$C$217),),9999),ROW(Summary!44:44))-1,)</f>
        <v>0</v>
      </c>
      <c r="D45" s="17"/>
      <c r="E45" s="8"/>
      <c r="F45" s="8"/>
      <c r="G45" s="4"/>
    </row>
    <row r="46" spans="2:7">
      <c r="B46" s="8">
        <f t="array" aca="1" ref="B46" ca="1">OFFSET(Summary!$B$1,SMALL(IFERROR(IF(FIND($A$2,Summary!$C$1:$C$217)&gt;=1,ROW(Summary!$B$1:$B$217),),9999),ROW(Summary!45:45))-1,)</f>
        <v>0</v>
      </c>
      <c r="C46" s="18">
        <f t="array" aca="1" ref="C46" ca="1">OFFSET(Summary!$C$1,SMALL(IFERROR(IF(FIND($A$2,Summary!$C$1:$C$217)&gt;=1,ROW(Summary!$C$1:$C$217),),9999),ROW(Summary!45:45))-1,)</f>
        <v>0</v>
      </c>
      <c r="D46" s="17"/>
      <c r="E46" s="8"/>
      <c r="F46" s="8"/>
      <c r="G46" s="4"/>
    </row>
    <row r="47" spans="2:7">
      <c r="B47" s="8">
        <f t="array" aca="1" ref="B47" ca="1">OFFSET(Summary!$B$1,SMALL(IFERROR(IF(FIND($A$2,Summary!$C$1:$C$217)&gt;=1,ROW(Summary!$B$1:$B$217),),9999),ROW(Summary!46:46))-1,)</f>
        <v>0</v>
      </c>
      <c r="C47" s="18">
        <f t="array" aca="1" ref="C47" ca="1">OFFSET(Summary!$C$1,SMALL(IFERROR(IF(FIND($A$2,Summary!$C$1:$C$217)&gt;=1,ROW(Summary!$C$1:$C$217),),9999),ROW(Summary!46:46))-1,)</f>
        <v>0</v>
      </c>
      <c r="D47" s="17"/>
      <c r="E47" s="8"/>
      <c r="F47" s="8"/>
      <c r="G47" s="4"/>
    </row>
    <row r="48" spans="2:7">
      <c r="B48" s="8">
        <f t="array" aca="1" ref="B48" ca="1">OFFSET(Summary!$B$1,SMALL(IFERROR(IF(FIND($A$2,Summary!$C$1:$C$217)&gt;=1,ROW(Summary!$B$1:$B$217),),9999),ROW(Summary!47:47))-1,)</f>
        <v>0</v>
      </c>
      <c r="C48" s="18">
        <f t="array" aca="1" ref="C48" ca="1">OFFSET(Summary!$C$1,SMALL(IFERROR(IF(FIND($A$2,Summary!$C$1:$C$217)&gt;=1,ROW(Summary!$C$1:$C$217),),9999),ROW(Summary!47:47))-1,)</f>
        <v>0</v>
      </c>
      <c r="D48" s="17"/>
      <c r="E48" s="8"/>
      <c r="F48" s="8"/>
      <c r="G48" s="4"/>
    </row>
    <row r="49" spans="2:7">
      <c r="B49" s="8">
        <f t="array" aca="1" ref="B49" ca="1">OFFSET(Summary!$B$1,SMALL(IFERROR(IF(FIND($A$2,Summary!$C$1:$C$217)&gt;=1,ROW(Summary!$B$1:$B$217),),9999),ROW(Summary!48:48))-1,)</f>
        <v>0</v>
      </c>
      <c r="C49" s="18">
        <f t="array" aca="1" ref="C49" ca="1">OFFSET(Summary!$C$1,SMALL(IFERROR(IF(FIND($A$2,Summary!$C$1:$C$217)&gt;=1,ROW(Summary!$C$1:$C$217),),9999),ROW(Summary!48:48))-1,)</f>
        <v>0</v>
      </c>
      <c r="D49" s="17"/>
      <c r="E49" s="8"/>
      <c r="F49" s="8"/>
      <c r="G49" s="4"/>
    </row>
    <row r="50" spans="2:7">
      <c r="B50" s="8">
        <f t="array" aca="1" ref="B50" ca="1">OFFSET(Summary!$B$1,SMALL(IFERROR(IF(FIND($A$2,Summary!$C$1:$C$217)&gt;=1,ROW(Summary!$B$1:$B$217),),9999),ROW(Summary!49:49))-1,)</f>
        <v>0</v>
      </c>
      <c r="C50" s="18">
        <f t="array" aca="1" ref="C50" ca="1">OFFSET(Summary!$C$1,SMALL(IFERROR(IF(FIND($A$2,Summary!$C$1:$C$217)&gt;=1,ROW(Summary!$C$1:$C$217),),9999),ROW(Summary!49:49))-1,)</f>
        <v>0</v>
      </c>
      <c r="D50" s="16"/>
      <c r="E50" s="8"/>
      <c r="F50" s="8"/>
      <c r="G50" s="4"/>
    </row>
    <row r="51" spans="2:7">
      <c r="B51" s="8">
        <f t="array" aca="1" ref="B51" ca="1">OFFSET(Summary!$B$1,SMALL(IFERROR(IF(FIND($A$2,Summary!$C$1:$C$217)&gt;=1,ROW(Summary!$B$1:$B$217),),9999),ROW(Summary!50:50))-1,)</f>
        <v>0</v>
      </c>
      <c r="C51" s="18">
        <f t="array" aca="1" ref="C51" ca="1">OFFSET(Summary!$C$1,SMALL(IFERROR(IF(FIND($A$2,Summary!$C$1:$C$217)&gt;=1,ROW(Summary!$C$1:$C$217),),9999),ROW(Summary!50:50))-1,)</f>
        <v>0</v>
      </c>
      <c r="D51" s="8"/>
      <c r="E51" s="8"/>
      <c r="F51" s="8"/>
      <c r="G51" s="4"/>
    </row>
    <row r="52" spans="2:7">
      <c r="B52" s="8">
        <f t="array" aca="1" ref="B52" ca="1">OFFSET(Summary!$B$1,SMALL(IFERROR(IF(FIND($A$2,Summary!$C$1:$C$217)&gt;=1,ROW(Summary!$B$1:$B$217),),9999),ROW(Summary!51:51))-1,)</f>
        <v>0</v>
      </c>
      <c r="C52" s="18">
        <f t="array" aca="1" ref="C52" ca="1">OFFSET(Summary!$C$1,SMALL(IFERROR(IF(FIND($A$2,Summary!$C$1:$C$217)&gt;=1,ROW(Summary!$C$1:$C$217),),9999),ROW(Summary!51:51))-1,)</f>
        <v>0</v>
      </c>
      <c r="D52" s="8"/>
      <c r="E52" s="8"/>
      <c r="F52" s="8"/>
      <c r="G52" s="4"/>
    </row>
    <row r="53" spans="2:7">
      <c r="B53" s="8">
        <f t="array" aca="1" ref="B53" ca="1">OFFSET(Summary!$B$1,SMALL(IFERROR(IF(FIND($A$2,Summary!$C$1:$C$217)&gt;=1,ROW(Summary!$B$1:$B$217),),9999),ROW(Summary!52:52))-1,)</f>
        <v>0</v>
      </c>
      <c r="C53" s="18">
        <f t="array" aca="1" ref="C53" ca="1">OFFSET(Summary!$C$1,SMALL(IFERROR(IF(FIND($A$2,Summary!$C$1:$C$217)&gt;=1,ROW(Summary!$C$1:$C$217),),9999),ROW(Summary!52:52))-1,)</f>
        <v>0</v>
      </c>
      <c r="D53" s="8"/>
      <c r="E53" s="8"/>
      <c r="F53" s="8"/>
      <c r="G53" s="4"/>
    </row>
    <row r="54" spans="2:7">
      <c r="B54" s="8">
        <f t="array" aca="1" ref="B54" ca="1">OFFSET(Summary!$B$1,SMALL(IFERROR(IF(FIND($A$2,Summary!$C$1:$C$217)&gt;=1,ROW(Summary!$B$1:$B$217),),9999),ROW(Summary!53:53))-1,)</f>
        <v>0</v>
      </c>
      <c r="C54" s="18">
        <f t="array" aca="1" ref="C54" ca="1">OFFSET(Summary!$C$1,SMALL(IFERROR(IF(FIND($A$2,Summary!$C$1:$C$217)&gt;=1,ROW(Summary!$C$1:$C$217),),9999),ROW(Summary!53:53))-1,)</f>
        <v>0</v>
      </c>
      <c r="D54" s="8"/>
      <c r="E54" s="8"/>
      <c r="F54" s="8"/>
      <c r="G54" s="4"/>
    </row>
    <row r="55" spans="2:7">
      <c r="B55" s="8">
        <f t="array" aca="1" ref="B55" ca="1">OFFSET(Summary!$B$1,SMALL(IFERROR(IF(FIND($A$2,Summary!$C$1:$C$217)&gt;=1,ROW(Summary!$B$1:$B$217),),9999),ROW(Summary!54:54))-1,)</f>
        <v>0</v>
      </c>
      <c r="C55" s="18">
        <f t="array" aca="1" ref="C55" ca="1">OFFSET(Summary!$C$1,SMALL(IFERROR(IF(FIND($A$2,Summary!$C$1:$C$217)&gt;=1,ROW(Summary!$C$1:$C$217),),9999),ROW(Summary!54:54))-1,)</f>
        <v>0</v>
      </c>
      <c r="D55" s="8"/>
      <c r="E55" s="8"/>
      <c r="F55" s="8"/>
      <c r="G55" s="4"/>
    </row>
    <row r="56" spans="2:7">
      <c r="B56" s="8">
        <f t="array" aca="1" ref="B56" ca="1">OFFSET(Summary!$B$1,SMALL(IFERROR(IF(FIND($A$2,Summary!$C$1:$C$217)&gt;=1,ROW(Summary!$B$1:$B$217),),9999),ROW(Summary!55:55))-1,)</f>
        <v>0</v>
      </c>
      <c r="C56" s="18">
        <f t="array" aca="1" ref="C56" ca="1">OFFSET(Summary!$C$1,SMALL(IFERROR(IF(FIND($A$2,Summary!$C$1:$C$217)&gt;=1,ROW(Summary!$C$1:$C$217),),9999),ROW(Summary!55:55))-1,)</f>
        <v>0</v>
      </c>
      <c r="D56" s="8"/>
      <c r="E56" s="8"/>
      <c r="F56" s="8"/>
      <c r="G56" s="4"/>
    </row>
    <row r="57" spans="2:7">
      <c r="B57" s="8">
        <f t="array" aca="1" ref="B57" ca="1">OFFSET(Summary!$B$1,SMALL(IFERROR(IF(FIND($A$2,Summary!$C$1:$C$217)&gt;=1,ROW(Summary!$B$1:$B$217),),9999),ROW(Summary!56:56))-1,)</f>
        <v>0</v>
      </c>
      <c r="C57" s="18">
        <f t="array" aca="1" ref="C57" ca="1">OFFSET(Summary!$C$1,SMALL(IFERROR(IF(FIND($A$2,Summary!$C$1:$C$217)&gt;=1,ROW(Summary!$C$1:$C$217),),9999),ROW(Summary!56:56))-1,)</f>
        <v>0</v>
      </c>
      <c r="D57" s="8"/>
      <c r="E57" s="8"/>
      <c r="F57" s="8"/>
      <c r="G57" s="4"/>
    </row>
    <row r="58" spans="2:7">
      <c r="B58" s="8">
        <f t="array" aca="1" ref="B58" ca="1">OFFSET(Summary!$B$1,SMALL(IFERROR(IF(FIND($A$2,Summary!$C$1:$C$217)&gt;=1,ROW(Summary!$B$1:$B$217),),9999),ROW(Summary!57:57))-1,)</f>
        <v>0</v>
      </c>
      <c r="C58" s="18">
        <f t="array" aca="1" ref="C58" ca="1">OFFSET(Summary!$C$1,SMALL(IFERROR(IF(FIND($A$2,Summary!$C$1:$C$217)&gt;=1,ROW(Summary!$C$1:$C$217),),9999),ROW(Summary!57:57))-1,)</f>
        <v>0</v>
      </c>
      <c r="D58" s="8"/>
      <c r="E58" s="8"/>
      <c r="F58" s="8"/>
      <c r="G58" s="4"/>
    </row>
    <row r="59" spans="2:7">
      <c r="B59" s="8">
        <f t="array" aca="1" ref="B59" ca="1">OFFSET(Summary!$B$1,SMALL(IFERROR(IF(FIND($A$2,Summary!$C$1:$C$217)&gt;=1,ROW(Summary!$B$1:$B$217),),9999),ROW(Summary!58:58))-1,)</f>
        <v>0</v>
      </c>
      <c r="C59" s="18">
        <f t="array" aca="1" ref="C59" ca="1">OFFSET(Summary!$C$1,SMALL(IFERROR(IF(FIND($A$2,Summary!$C$1:$C$217)&gt;=1,ROW(Summary!$C$1:$C$217),),9999),ROW(Summary!58:58))-1,)</f>
        <v>0</v>
      </c>
      <c r="D59" s="8"/>
      <c r="E59" s="8"/>
      <c r="F59" s="8"/>
      <c r="G59" s="4"/>
    </row>
    <row r="60" spans="2:7">
      <c r="B60" s="8">
        <f t="array" aca="1" ref="B60" ca="1">OFFSET(Summary!$B$1,SMALL(IFERROR(IF(FIND($A$2,Summary!$C$1:$C$217)&gt;=1,ROW(Summary!$B$1:$B$217),),9999),ROW(Summary!59:59))-1,)</f>
        <v>0</v>
      </c>
      <c r="C60" s="18">
        <f t="array" aca="1" ref="C60" ca="1">OFFSET(Summary!$C$1,SMALL(IFERROR(IF(FIND($A$2,Summary!$C$1:$C$217)&gt;=1,ROW(Summary!$C$1:$C$217),),9999),ROW(Summary!59:59))-1,)</f>
        <v>0</v>
      </c>
      <c r="D60" s="8"/>
      <c r="E60" s="8"/>
      <c r="F60" s="8"/>
      <c r="G60" s="4"/>
    </row>
    <row r="61" spans="2:7">
      <c r="B61" s="8">
        <f t="array" aca="1" ref="B61" ca="1">OFFSET(Summary!$B$1,SMALL(IFERROR(IF(FIND($A$2,Summary!$C$1:$C$217)&gt;=1,ROW(Summary!$B$1:$B$217),),9999),ROW(Summary!60:60))-1,)</f>
        <v>0</v>
      </c>
      <c r="C61" s="18">
        <f t="array" aca="1" ref="C61" ca="1">OFFSET(Summary!$C$1,SMALL(IFERROR(IF(FIND($A$2,Summary!$C$1:$C$217)&gt;=1,ROW(Summary!$C$1:$C$217),),9999),ROW(Summary!60:60))-1,)</f>
        <v>0</v>
      </c>
      <c r="D61" s="8"/>
      <c r="E61" s="8"/>
      <c r="F61" s="8"/>
      <c r="G61" s="4"/>
    </row>
    <row r="62" spans="2:7">
      <c r="B62" s="8">
        <f t="array" aca="1" ref="B62" ca="1">OFFSET(Summary!$B$1,SMALL(IFERROR(IF(FIND($A$2,Summary!$C$1:$C$217)&gt;=1,ROW(Summary!$B$1:$B$217),),9999),ROW(Summary!61:61))-1,)</f>
        <v>0</v>
      </c>
      <c r="C62" s="18">
        <f t="array" aca="1" ref="C62" ca="1">OFFSET(Summary!$C$1,SMALL(IFERROR(IF(FIND($A$2,Summary!$C$1:$C$217)&gt;=1,ROW(Summary!$C$1:$C$217),),9999),ROW(Summary!61:61))-1,)</f>
        <v>0</v>
      </c>
      <c r="D62" s="16"/>
      <c r="E62" s="8"/>
      <c r="F62" s="8"/>
      <c r="G62" s="4"/>
    </row>
    <row r="63" spans="2:7">
      <c r="B63" s="8">
        <f t="array" aca="1" ref="B63" ca="1">OFFSET(Summary!$B$1,SMALL(IFERROR(IF(FIND($A$2,Summary!$C$1:$C$217)&gt;=1,ROW(Summary!$B$1:$B$217),),9999),ROW(Summary!62:62))-1,)</f>
        <v>0</v>
      </c>
      <c r="C63" s="18">
        <f t="array" aca="1" ref="C63" ca="1">OFFSET(Summary!$C$1,SMALL(IFERROR(IF(FIND($A$2,Summary!$C$1:$C$217)&gt;=1,ROW(Summary!$C$1:$C$217),),9999),ROW(Summary!62:62))-1,)</f>
        <v>0</v>
      </c>
      <c r="D63" s="8"/>
      <c r="E63" s="8"/>
      <c r="F63" s="8"/>
      <c r="G63" s="4"/>
    </row>
    <row r="64" spans="2:7">
      <c r="B64" s="8">
        <f t="array" aca="1" ref="B64" ca="1">OFFSET(Summary!$B$1,SMALL(IFERROR(IF(FIND($A$2,Summary!$C$1:$C$217)&gt;=1,ROW(Summary!$B$1:$B$217),),9999),ROW(Summary!63:63))-1,)</f>
        <v>0</v>
      </c>
      <c r="C64" s="18">
        <f t="array" aca="1" ref="C64" ca="1">OFFSET(Summary!$C$1,SMALL(IFERROR(IF(FIND($A$2,Summary!$C$1:$C$217)&gt;=1,ROW(Summary!$C$1:$C$217),),9999),ROW(Summary!63:63))-1,)</f>
        <v>0</v>
      </c>
      <c r="D64" s="8"/>
      <c r="E64" s="8"/>
      <c r="F64" s="8"/>
      <c r="G64" s="4"/>
    </row>
    <row r="65" spans="2:7">
      <c r="B65" s="8">
        <f t="array" aca="1" ref="B65" ca="1">OFFSET(Summary!$B$1,SMALL(IFERROR(IF(FIND($A$2,Summary!$C$1:$C$217)&gt;=1,ROW(Summary!$B$1:$B$217),),9999),ROW(Summary!64:64))-1,)</f>
        <v>0</v>
      </c>
      <c r="C65" s="18">
        <f t="array" aca="1" ref="C65" ca="1">OFFSET(Summary!$C$1,SMALL(IFERROR(IF(FIND($A$2,Summary!$C$1:$C$217)&gt;=1,ROW(Summary!$C$1:$C$217),),9999),ROW(Summary!64:64))-1,)</f>
        <v>0</v>
      </c>
      <c r="D65" s="8"/>
      <c r="E65" s="8"/>
      <c r="F65" s="8"/>
      <c r="G65" s="4"/>
    </row>
    <row r="66" spans="2:7">
      <c r="B66" s="8">
        <f t="array" aca="1" ref="B66" ca="1">OFFSET(Summary!$B$1,SMALL(IFERROR(IF(FIND($A$2,Summary!$C$1:$C$217)&gt;=1,ROW(Summary!$B$1:$B$217),),9999),ROW(Summary!65:65))-1,)</f>
        <v>0</v>
      </c>
      <c r="C66" s="18">
        <f t="array" aca="1" ref="C66" ca="1">OFFSET(Summary!$C$1,SMALL(IFERROR(IF(FIND($A$2,Summary!$C$1:$C$217)&gt;=1,ROW(Summary!$C$1:$C$217),),9999),ROW(Summary!65:65))-1,)</f>
        <v>0</v>
      </c>
      <c r="D66" s="8"/>
      <c r="E66" s="8"/>
      <c r="F66" s="8"/>
      <c r="G66" s="4"/>
    </row>
    <row r="67" spans="2:7">
      <c r="B67" s="8">
        <f t="array" aca="1" ref="B67" ca="1">OFFSET(Summary!$B$1,SMALL(IFERROR(IF(FIND($A$2,Summary!$C$1:$C$217)&gt;=1,ROW(Summary!$B$1:$B$217),),9999),ROW(Summary!66:66))-1,)</f>
        <v>0</v>
      </c>
      <c r="C67" s="18">
        <f t="array" aca="1" ref="C67" ca="1">OFFSET(Summary!$C$1,SMALL(IFERROR(IF(FIND($A$2,Summary!$C$1:$C$217)&gt;=1,ROW(Summary!$C$1:$C$217),),9999),ROW(Summary!66:66))-1,)</f>
        <v>0</v>
      </c>
      <c r="D67" s="8"/>
      <c r="E67" s="8"/>
      <c r="F67" s="8"/>
      <c r="G67" s="4"/>
    </row>
    <row r="68" spans="2:7">
      <c r="B68" s="8">
        <f t="array" aca="1" ref="B68" ca="1">OFFSET(Summary!$B$1,SMALL(IFERROR(IF(FIND($A$2,Summary!$C$1:$C$217)&gt;=1,ROW(Summary!$B$1:$B$217),),9999),ROW(Summary!67:67))-1,)</f>
        <v>0</v>
      </c>
      <c r="C68" s="18">
        <f t="array" aca="1" ref="C68" ca="1">OFFSET(Summary!$C$1,SMALL(IFERROR(IF(FIND($A$2,Summary!$C$1:$C$217)&gt;=1,ROW(Summary!$C$1:$C$217),),9999),ROW(Summary!67:67))-1,)</f>
        <v>0</v>
      </c>
      <c r="D68" s="8"/>
      <c r="E68" s="8"/>
      <c r="F68" s="8"/>
      <c r="G68" s="4"/>
    </row>
    <row r="69" spans="2:7">
      <c r="B69" s="8">
        <f t="array" aca="1" ref="B69" ca="1">OFFSET(Summary!$B$1,SMALL(IFERROR(IF(FIND($A$2,Summary!$C$1:$C$217)&gt;=1,ROW(Summary!$B$1:$B$217),),9999),ROW(Summary!68:68))-1,)</f>
        <v>0</v>
      </c>
      <c r="C69" s="18">
        <f t="array" aca="1" ref="C69" ca="1">OFFSET(Summary!$C$1,SMALL(IFERROR(IF(FIND($A$2,Summary!$C$1:$C$217)&gt;=1,ROW(Summary!$C$1:$C$217),),9999),ROW(Summary!68:68))-1,)</f>
        <v>0</v>
      </c>
      <c r="D69" s="8"/>
      <c r="E69" s="8"/>
      <c r="F69" s="8"/>
      <c r="G69" s="4"/>
    </row>
    <row r="70" spans="2:7">
      <c r="B70" s="8">
        <f t="array" aca="1" ref="B70" ca="1">OFFSET(Summary!$B$1,SMALL(IFERROR(IF(FIND($A$2,Summary!$C$1:$C$217)&gt;=1,ROW(Summary!$B$1:$B$217),),9999),ROW(Summary!69:69))-1,)</f>
        <v>0</v>
      </c>
      <c r="C70" s="18">
        <f t="array" aca="1" ref="C70" ca="1">OFFSET(Summary!$C$1,SMALL(IFERROR(IF(FIND($A$2,Summary!$C$1:$C$217)&gt;=1,ROW(Summary!$C$1:$C$217),),9999),ROW(Summary!69:69))-1,)</f>
        <v>0</v>
      </c>
      <c r="D70" s="8"/>
      <c r="E70" s="8"/>
      <c r="F70" s="8"/>
      <c r="G70" s="4"/>
    </row>
    <row r="71" spans="2:7">
      <c r="B71" s="8">
        <f t="array" aca="1" ref="B71" ca="1">OFFSET(Summary!$B$1,SMALL(IFERROR(IF(FIND($A$2,Summary!$C$1:$C$217)&gt;=1,ROW(Summary!$B$1:$B$217),),9999),ROW(Summary!70:70))-1,)</f>
        <v>0</v>
      </c>
      <c r="C71" s="18">
        <f t="array" aca="1" ref="C71" ca="1">OFFSET(Summary!$C$1,SMALL(IFERROR(IF(FIND($A$2,Summary!$C$1:$C$217)&gt;=1,ROW(Summary!$C$1:$C$217),),9999),ROW(Summary!70:70))-1,)</f>
        <v>0</v>
      </c>
      <c r="D71" s="8"/>
      <c r="E71" s="8"/>
      <c r="F71" s="8"/>
      <c r="G71" s="4"/>
    </row>
    <row r="72" spans="2:7">
      <c r="B72" s="8">
        <f t="array" aca="1" ref="B72" ca="1">OFFSET(Summary!$B$1,SMALL(IFERROR(IF(FIND($A$2,Summary!$C$1:$C$217)&gt;=1,ROW(Summary!$B$1:$B$217),),9999),ROW(Summary!71:71))-1,)</f>
        <v>0</v>
      </c>
      <c r="C72" s="18">
        <f t="array" aca="1" ref="C72" ca="1">OFFSET(Summary!$C$1,SMALL(IFERROR(IF(FIND($A$2,Summary!$C$1:$C$217)&gt;=1,ROW(Summary!$C$1:$C$217),),9999),ROW(Summary!71:71))-1,)</f>
        <v>0</v>
      </c>
      <c r="D72" s="8"/>
      <c r="E72" s="8"/>
      <c r="F72" s="8"/>
      <c r="G72" s="4"/>
    </row>
    <row r="73" spans="2:7">
      <c r="B73" s="8">
        <f t="array" aca="1" ref="B73" ca="1">OFFSET(Summary!$B$1,SMALL(IFERROR(IF(FIND($A$2,Summary!$C$1:$C$217)&gt;=1,ROW(Summary!$B$1:$B$217),),9999),ROW(Summary!72:72))-1,)</f>
        <v>0</v>
      </c>
      <c r="C73" s="18">
        <f t="array" aca="1" ref="C73" ca="1">OFFSET(Summary!$C$1,SMALL(IFERROR(IF(FIND($A$2,Summary!$C$1:$C$217)&gt;=1,ROW(Summary!$C$1:$C$217),),9999),ROW(Summary!72:72))-1,)</f>
        <v>0</v>
      </c>
      <c r="D73" s="8"/>
      <c r="E73" s="8"/>
      <c r="F73" s="8"/>
      <c r="G73" s="4"/>
    </row>
    <row r="74" spans="2:7">
      <c r="B74" s="8">
        <f t="array" aca="1" ref="B74" ca="1">OFFSET(Summary!$B$1,SMALL(IFERROR(IF(FIND($A$2,Summary!$C$1:$C$217)&gt;=1,ROW(Summary!$B$1:$B$217),),9999),ROW(Summary!73:73))-1,)</f>
        <v>0</v>
      </c>
      <c r="C74" s="18">
        <f t="array" aca="1" ref="C74" ca="1">OFFSET(Summary!$C$1,SMALL(IFERROR(IF(FIND($A$2,Summary!$C$1:$C$217)&gt;=1,ROW(Summary!$C$1:$C$217),),9999),ROW(Summary!73:73))-1,)</f>
        <v>0</v>
      </c>
      <c r="D74" s="8"/>
      <c r="E74" s="8"/>
      <c r="F74" s="8"/>
      <c r="G74" s="4"/>
    </row>
    <row r="75" spans="2:7">
      <c r="B75" s="8">
        <f t="array" aca="1" ref="B75" ca="1">OFFSET(Summary!$B$1,SMALL(IFERROR(IF(FIND($A$2,Summary!$C$1:$C$217)&gt;=1,ROW(Summary!$B$1:$B$217),),9999),ROW(Summary!74:74))-1,)</f>
        <v>0</v>
      </c>
      <c r="C75" s="18">
        <f t="array" aca="1" ref="C75" ca="1">OFFSET(Summary!$C$1,SMALL(IFERROR(IF(FIND($A$2,Summary!$C$1:$C$217)&gt;=1,ROW(Summary!$C$1:$C$217),),9999),ROW(Summary!74:74))-1,)</f>
        <v>0</v>
      </c>
      <c r="D75" s="16"/>
      <c r="E75" s="8"/>
      <c r="F75" s="8"/>
      <c r="G75" s="4"/>
    </row>
    <row r="76" spans="2:7">
      <c r="B76" s="8">
        <f t="array" aca="1" ref="B76" ca="1">OFFSET(Summary!$B$1,SMALL(IFERROR(IF(FIND($A$2,Summary!$C$1:$C$217)&gt;=1,ROW(Summary!$B$1:$B$217),),9999),ROW(Summary!75:75))-1,)</f>
        <v>0</v>
      </c>
      <c r="C76" s="18">
        <f t="array" aca="1" ref="C76" ca="1">OFFSET(Summary!$C$1,SMALL(IFERROR(IF(FIND($A$2,Summary!$C$1:$C$217)&gt;=1,ROW(Summary!$C$1:$C$217),),9999),ROW(Summary!75:75))-1,)</f>
        <v>0</v>
      </c>
      <c r="D76" s="8"/>
      <c r="E76" s="8"/>
      <c r="F76" s="8"/>
      <c r="G76" s="4"/>
    </row>
    <row r="77" spans="2:7">
      <c r="B77" s="8">
        <f t="array" aca="1" ref="B77" ca="1">OFFSET(Summary!$B$1,SMALL(IFERROR(IF(FIND($A$2,Summary!$C$1:$C$217)&gt;=1,ROW(Summary!$B$1:$B$217),),9999),ROW(Summary!76:76))-1,)</f>
        <v>0</v>
      </c>
      <c r="C77" s="18">
        <f t="array" aca="1" ref="C77" ca="1">OFFSET(Summary!$C$1,SMALL(IFERROR(IF(FIND($A$2,Summary!$C$1:$C$217)&gt;=1,ROW(Summary!$C$1:$C$217),),9999),ROW(Summary!76:76))-1,)</f>
        <v>0</v>
      </c>
      <c r="D77" s="8"/>
      <c r="E77" s="8"/>
      <c r="F77" s="8"/>
      <c r="G77" s="4"/>
    </row>
    <row r="78" spans="2:7">
      <c r="B78" s="8">
        <f t="array" aca="1" ref="B78" ca="1">OFFSET(Summary!$B$1,SMALL(IFERROR(IF(FIND($A$2,Summary!$C$1:$C$217)&gt;=1,ROW(Summary!$B$1:$B$217),),9999),ROW(Summary!77:77))-1,)</f>
        <v>0</v>
      </c>
      <c r="C78" s="18">
        <f t="array" aca="1" ref="C78" ca="1">OFFSET(Summary!$C$1,SMALL(IFERROR(IF(FIND($A$2,Summary!$C$1:$C$217)&gt;=1,ROW(Summary!$C$1:$C$217),),9999),ROW(Summary!77:77))-1,)</f>
        <v>0</v>
      </c>
      <c r="D78" s="8"/>
      <c r="E78" s="8"/>
      <c r="F78" s="8"/>
      <c r="G78" s="4"/>
    </row>
    <row r="79" spans="2:7">
      <c r="B79" s="13"/>
      <c r="C79" s="13"/>
      <c r="D79" s="8"/>
      <c r="E79" s="8"/>
      <c r="F79" s="8"/>
      <c r="G79" s="4"/>
    </row>
    <row r="80" spans="2:7">
      <c r="B80" s="13"/>
      <c r="C80" s="13"/>
      <c r="D80" s="8"/>
      <c r="E80" s="8"/>
      <c r="F80" s="8"/>
      <c r="G80" s="4"/>
    </row>
    <row r="81" spans="2:7">
      <c r="B81" s="13"/>
      <c r="C81" s="13"/>
      <c r="D81" s="8"/>
      <c r="E81" s="8"/>
      <c r="F81" s="8"/>
      <c r="G81" s="4"/>
    </row>
    <row r="82" spans="2:7">
      <c r="B82" s="13"/>
      <c r="C82" s="13"/>
      <c r="D82" s="8"/>
      <c r="E82" s="8"/>
      <c r="F82" s="8"/>
      <c r="G82" s="4"/>
    </row>
    <row r="83" spans="2:7">
      <c r="B83" s="13"/>
      <c r="C83" s="13"/>
      <c r="D83" s="8"/>
      <c r="E83" s="8"/>
      <c r="F83" s="8"/>
      <c r="G83" s="4"/>
    </row>
    <row r="84" spans="2:7">
      <c r="B84" s="15"/>
      <c r="C84" s="15"/>
      <c r="D84" s="16"/>
      <c r="E84" s="8"/>
      <c r="F84" s="8"/>
      <c r="G84" s="4"/>
    </row>
    <row r="85" spans="2:7">
      <c r="B85" s="13"/>
      <c r="C85" s="13"/>
      <c r="D85" s="17"/>
      <c r="E85" s="8"/>
      <c r="F85" s="8"/>
      <c r="G85" s="4"/>
    </row>
    <row r="86" spans="2:7">
      <c r="B86" s="13"/>
      <c r="C86" s="13"/>
      <c r="D86" s="12"/>
      <c r="E86" s="8"/>
      <c r="F86" s="8"/>
      <c r="G86" s="4"/>
    </row>
    <row r="87" spans="2:7">
      <c r="B87" s="13"/>
      <c r="C87" s="13"/>
      <c r="D87" s="17"/>
      <c r="E87" s="8"/>
      <c r="F87" s="8"/>
      <c r="G87" s="4"/>
    </row>
    <row r="88" spans="2:7">
      <c r="B88" s="13"/>
      <c r="C88" s="13"/>
      <c r="D88" s="8"/>
      <c r="E88" s="8"/>
      <c r="F88" s="8"/>
      <c r="G88" s="4"/>
    </row>
    <row r="89" spans="2:7">
      <c r="B89" s="13"/>
      <c r="C89" s="13"/>
      <c r="D89" s="8"/>
      <c r="E89" s="8"/>
      <c r="F89" s="8"/>
      <c r="G89" s="4"/>
    </row>
    <row r="90" spans="2:7">
      <c r="B90" s="13"/>
      <c r="C90" s="13"/>
      <c r="D90" s="8"/>
      <c r="E90" s="8"/>
      <c r="F90" s="8"/>
      <c r="G90" s="4"/>
    </row>
    <row r="91" spans="2:7">
      <c r="B91" s="13"/>
      <c r="C91" s="13"/>
      <c r="D91" s="8"/>
      <c r="E91" s="8"/>
      <c r="F91" s="8"/>
      <c r="G91" s="4"/>
    </row>
    <row r="92" spans="2:7">
      <c r="B92" s="13"/>
      <c r="C92" s="13"/>
      <c r="D92" s="8"/>
      <c r="E92" s="8"/>
      <c r="F92" s="8"/>
      <c r="G92" s="4"/>
    </row>
    <row r="93" spans="2:7">
      <c r="B93" s="13"/>
      <c r="C93" s="13"/>
      <c r="D93" s="8"/>
      <c r="E93" s="8"/>
      <c r="F93" s="8"/>
      <c r="G93" s="4"/>
    </row>
    <row r="94" spans="2:7">
      <c r="B94" s="13"/>
      <c r="C94" s="13"/>
      <c r="D94" s="8"/>
      <c r="E94" s="8"/>
      <c r="F94" s="8"/>
      <c r="G94" s="4"/>
    </row>
    <row r="95" spans="2:7">
      <c r="B95" s="13"/>
      <c r="C95" s="13"/>
      <c r="D95" s="8"/>
      <c r="E95" s="8"/>
      <c r="F95" s="8"/>
      <c r="G95" s="4"/>
    </row>
    <row r="96" spans="2:7">
      <c r="B96" s="13"/>
      <c r="C96" s="13"/>
      <c r="D96" s="8"/>
      <c r="E96" s="8"/>
      <c r="F96" s="8"/>
      <c r="G96" s="4"/>
    </row>
    <row r="97" spans="2:7">
      <c r="B97" s="13"/>
      <c r="C97" s="13"/>
      <c r="D97" s="8"/>
      <c r="E97" s="8"/>
      <c r="F97" s="8"/>
      <c r="G97" s="4"/>
    </row>
    <row r="98" spans="2:7">
      <c r="B98" s="13"/>
      <c r="C98" s="13"/>
      <c r="D98" s="8"/>
      <c r="E98" s="8"/>
      <c r="F98" s="8"/>
      <c r="G98" s="4"/>
    </row>
    <row r="99" spans="2:7">
      <c r="B99" s="13"/>
      <c r="C99" s="13"/>
      <c r="D99" s="8"/>
      <c r="E99" s="8"/>
      <c r="F99" s="8"/>
      <c r="G99" s="4"/>
    </row>
    <row r="100" spans="2:7">
      <c r="B100" s="13"/>
      <c r="C100" s="13"/>
      <c r="D100" s="8"/>
      <c r="E100" s="8"/>
      <c r="F100" s="8"/>
      <c r="G100" s="4"/>
    </row>
    <row r="101" spans="2:7">
      <c r="B101" s="13"/>
      <c r="C101" s="13"/>
      <c r="D101" s="8"/>
      <c r="E101" s="8"/>
      <c r="F101" s="8"/>
      <c r="G101" s="4"/>
    </row>
    <row r="102" spans="2:7">
      <c r="B102" s="13"/>
      <c r="C102" s="13"/>
      <c r="D102" s="8"/>
      <c r="E102" s="8"/>
      <c r="F102" s="8"/>
      <c r="G102" s="4"/>
    </row>
    <row r="103" spans="2:7">
      <c r="B103" s="13"/>
      <c r="C103" s="13"/>
      <c r="D103" s="8"/>
      <c r="E103" s="8"/>
      <c r="F103" s="8"/>
      <c r="G103" s="4"/>
    </row>
    <row r="104" spans="2:7">
      <c r="B104" s="13"/>
      <c r="C104" s="13"/>
      <c r="D104" s="8"/>
      <c r="E104" s="8"/>
      <c r="F104" s="8"/>
      <c r="G104" s="4"/>
    </row>
    <row r="105" spans="2:7">
      <c r="B105" s="13"/>
      <c r="C105" s="13"/>
      <c r="D105" s="8"/>
      <c r="E105" s="8"/>
      <c r="F105" s="8"/>
      <c r="G105" s="4"/>
    </row>
    <row r="106" spans="2:7">
      <c r="B106" s="13"/>
      <c r="C106" s="13"/>
      <c r="D106" s="8"/>
      <c r="E106" s="8"/>
      <c r="F106" s="8"/>
      <c r="G106" s="4"/>
    </row>
    <row r="107" spans="2:7">
      <c r="B107" s="15"/>
      <c r="C107" s="14"/>
      <c r="D107" s="16"/>
      <c r="E107" s="8"/>
      <c r="F107" s="8"/>
      <c r="G107" s="4"/>
    </row>
    <row r="108" spans="2:7">
      <c r="B108" s="13"/>
      <c r="C108" s="13"/>
      <c r="D108" s="8"/>
      <c r="E108" s="8"/>
      <c r="F108" s="8"/>
      <c r="G108" s="4"/>
    </row>
    <row r="109" spans="2:7">
      <c r="B109" s="13"/>
      <c r="C109" s="13"/>
      <c r="D109" s="8"/>
      <c r="E109" s="8"/>
      <c r="F109" s="8"/>
      <c r="G109" s="4"/>
    </row>
    <row r="110" spans="2:7">
      <c r="B110" s="13"/>
      <c r="C110" s="13"/>
      <c r="D110" s="8"/>
      <c r="E110" s="8"/>
      <c r="F110" s="8"/>
      <c r="G110" s="4"/>
    </row>
    <row r="111" spans="2:7">
      <c r="B111" s="13"/>
      <c r="C111" s="13"/>
      <c r="D111" s="8"/>
      <c r="E111" s="8"/>
      <c r="F111" s="8"/>
      <c r="G111" s="4"/>
    </row>
    <row r="112" spans="2:7">
      <c r="B112" s="13"/>
      <c r="C112" s="13"/>
      <c r="D112" s="8"/>
      <c r="E112" s="8"/>
      <c r="F112" s="8"/>
      <c r="G112" s="4"/>
    </row>
    <row r="113" spans="2:7">
      <c r="B113" s="15"/>
      <c r="C113" s="14"/>
      <c r="D113" s="16"/>
      <c r="E113" s="8"/>
      <c r="F113" s="8"/>
      <c r="G113" s="4"/>
    </row>
    <row r="114" spans="2:7">
      <c r="B114" s="13"/>
      <c r="C114" s="13"/>
      <c r="D114" s="8"/>
      <c r="E114" s="8"/>
      <c r="F114" s="8"/>
      <c r="G114" s="4"/>
    </row>
    <row r="115" spans="2:7">
      <c r="B115" s="13"/>
      <c r="C115" s="13"/>
      <c r="D115" s="8"/>
      <c r="E115" s="8"/>
      <c r="F115" s="8"/>
      <c r="G115" s="4"/>
    </row>
    <row r="116" spans="2:7">
      <c r="B116" s="13"/>
      <c r="C116" s="13"/>
      <c r="D116" s="8"/>
      <c r="E116" s="8"/>
      <c r="F116" s="8"/>
      <c r="G116" s="4"/>
    </row>
    <row r="117" spans="2:7">
      <c r="B117" s="13"/>
      <c r="C117" s="13"/>
      <c r="D117" s="8"/>
      <c r="E117" s="8"/>
      <c r="F117" s="8"/>
      <c r="G117" s="4"/>
    </row>
    <row r="118" spans="2:7">
      <c r="B118" s="13"/>
      <c r="C118" s="13"/>
      <c r="D118" s="8"/>
      <c r="E118" s="8"/>
      <c r="F118" s="8"/>
      <c r="G118" s="4"/>
    </row>
    <row r="119" spans="2:7">
      <c r="B119" s="13"/>
      <c r="C119" s="13"/>
      <c r="D119" s="8"/>
      <c r="E119" s="8"/>
      <c r="F119" s="8"/>
      <c r="G119" s="4"/>
    </row>
    <row r="120" spans="2:7">
      <c r="B120" s="15"/>
      <c r="C120" s="14"/>
      <c r="D120" s="16"/>
      <c r="E120" s="8"/>
      <c r="F120" s="8"/>
      <c r="G120" s="4"/>
    </row>
    <row r="121" spans="2:7">
      <c r="B121" s="13"/>
      <c r="C121" s="13"/>
      <c r="D121" s="8"/>
      <c r="E121" s="8"/>
      <c r="F121" s="8"/>
      <c r="G121" s="4"/>
    </row>
    <row r="122" spans="2:7">
      <c r="B122" s="13"/>
      <c r="C122" s="13"/>
      <c r="D122" s="8"/>
      <c r="E122" s="8"/>
      <c r="F122" s="8"/>
      <c r="G122" s="4"/>
    </row>
    <row r="123" spans="2:7">
      <c r="B123" s="13"/>
      <c r="C123" s="13"/>
      <c r="D123" s="8"/>
      <c r="E123" s="8"/>
      <c r="F123" s="8"/>
      <c r="G123" s="4"/>
    </row>
    <row r="124" spans="2:7">
      <c r="B124" s="13"/>
      <c r="C124" s="13"/>
      <c r="D124" s="8"/>
      <c r="E124" s="8"/>
      <c r="F124" s="8"/>
      <c r="G124" s="4"/>
    </row>
    <row r="125" spans="2:7">
      <c r="B125" s="13"/>
      <c r="C125" s="13"/>
      <c r="D125" s="8"/>
      <c r="E125" s="8"/>
      <c r="F125" s="8"/>
      <c r="G125" s="4"/>
    </row>
    <row r="126" spans="2:7">
      <c r="B126" s="15"/>
      <c r="C126" s="14"/>
      <c r="D126" s="16"/>
      <c r="E126" s="8"/>
      <c r="F126" s="8"/>
      <c r="G126" s="4"/>
    </row>
    <row r="127" spans="2:7">
      <c r="B127" s="13"/>
      <c r="C127" s="13"/>
      <c r="D127" s="8"/>
      <c r="E127" s="8"/>
      <c r="F127" s="8"/>
      <c r="G127" s="4"/>
    </row>
    <row r="128" spans="2:7">
      <c r="B128" s="13"/>
      <c r="C128" s="13"/>
      <c r="D128" s="8"/>
      <c r="E128" s="8"/>
      <c r="F128" s="8"/>
      <c r="G128" s="4"/>
    </row>
    <row r="129" spans="2:7">
      <c r="B129" s="13"/>
      <c r="C129" s="13"/>
      <c r="D129" s="8"/>
      <c r="E129" s="8"/>
      <c r="F129" s="8"/>
      <c r="G129" s="4"/>
    </row>
    <row r="130" spans="2:7">
      <c r="B130" s="13"/>
      <c r="C130" s="13"/>
      <c r="D130" s="8"/>
      <c r="E130" s="8"/>
      <c r="F130" s="8"/>
      <c r="G130" s="4"/>
    </row>
    <row r="131" spans="2:7">
      <c r="B131" s="13"/>
      <c r="C131" s="13"/>
      <c r="D131" s="8"/>
      <c r="E131" s="8"/>
      <c r="F131" s="8"/>
      <c r="G131" s="4"/>
    </row>
    <row r="132" spans="2:7">
      <c r="B132" s="13"/>
      <c r="C132" s="13"/>
      <c r="D132" s="8"/>
      <c r="E132" s="8"/>
      <c r="F132" s="8"/>
      <c r="G132" s="4"/>
    </row>
    <row r="133" spans="2:7">
      <c r="B133" s="13"/>
      <c r="C133" s="13"/>
      <c r="D133" s="8"/>
      <c r="E133" s="8"/>
      <c r="F133" s="8"/>
      <c r="G133" s="4"/>
    </row>
    <row r="134" spans="2:7">
      <c r="B134" s="15"/>
      <c r="C134" s="14"/>
      <c r="D134" s="8"/>
      <c r="E134" s="8"/>
      <c r="F134" s="8"/>
      <c r="G134" s="4"/>
    </row>
    <row r="135" spans="2:7">
      <c r="B135" s="13"/>
      <c r="C135" s="13"/>
      <c r="D135" s="8"/>
      <c r="E135" s="8"/>
      <c r="F135" s="8"/>
      <c r="G135" s="4"/>
    </row>
    <row r="136" spans="2:7">
      <c r="B136" s="13"/>
      <c r="C136" s="13"/>
      <c r="D136" s="8"/>
      <c r="E136" s="8"/>
      <c r="F136" s="8"/>
      <c r="G136" s="4"/>
    </row>
    <row r="137" spans="2:7">
      <c r="B137" s="13"/>
      <c r="C137" s="13"/>
      <c r="D137" s="8"/>
      <c r="E137" s="8"/>
      <c r="F137" s="8"/>
      <c r="G137" s="4"/>
    </row>
    <row r="138" spans="2:7">
      <c r="B138" s="13"/>
      <c r="C138" s="13"/>
      <c r="D138" s="8"/>
      <c r="E138" s="8"/>
      <c r="F138" s="8"/>
      <c r="G138" s="4"/>
    </row>
    <row r="139" spans="2:7">
      <c r="B139" s="13"/>
      <c r="C139" s="13"/>
      <c r="D139" s="8"/>
      <c r="E139" s="8"/>
      <c r="F139" s="8"/>
      <c r="G139" s="4"/>
    </row>
    <row r="140" spans="2:7">
      <c r="B140" s="15"/>
      <c r="C140" s="14"/>
      <c r="D140" s="8"/>
      <c r="E140" s="8"/>
      <c r="F140" s="8"/>
      <c r="G140" s="4"/>
    </row>
    <row r="141" spans="2:7">
      <c r="B141" s="13"/>
      <c r="C141" s="13"/>
      <c r="D141" s="8"/>
      <c r="E141" s="8"/>
      <c r="F141" s="8"/>
      <c r="G141" s="4"/>
    </row>
    <row r="142" spans="2:7">
      <c r="B142" s="13"/>
      <c r="C142" s="13"/>
      <c r="D142" s="8"/>
      <c r="E142" s="8"/>
      <c r="F142" s="8"/>
      <c r="G142" s="4"/>
    </row>
    <row r="143" spans="2:7">
      <c r="B143" s="13"/>
      <c r="C143" s="13"/>
      <c r="D143" s="8"/>
      <c r="E143" s="8"/>
      <c r="F143" s="8"/>
      <c r="G143" s="4"/>
    </row>
    <row r="144" spans="2:7">
      <c r="B144" s="13"/>
      <c r="C144" s="13"/>
      <c r="D144" s="8"/>
      <c r="E144" s="8"/>
      <c r="F144" s="8"/>
      <c r="G144" s="4"/>
    </row>
    <row r="145" spans="2:7">
      <c r="B145" s="13"/>
      <c r="C145" s="13"/>
      <c r="D145" s="8"/>
      <c r="E145" s="8"/>
      <c r="F145" s="8"/>
      <c r="G145" s="4"/>
    </row>
    <row r="146" spans="2:7">
      <c r="B146" s="13"/>
      <c r="C146" s="13"/>
      <c r="D146" s="8"/>
      <c r="E146" s="8"/>
      <c r="F146" s="8"/>
      <c r="G146" s="4"/>
    </row>
    <row r="147" spans="2:7">
      <c r="B147" s="13"/>
      <c r="C147" s="13"/>
      <c r="D147" s="8"/>
      <c r="E147" s="8"/>
      <c r="F147" s="8"/>
      <c r="G147" s="4"/>
    </row>
    <row r="148" spans="2:7">
      <c r="B148" s="13"/>
      <c r="C148" s="13"/>
      <c r="D148" s="8"/>
      <c r="E148" s="8"/>
      <c r="F148" s="8"/>
      <c r="G148" s="4"/>
    </row>
    <row r="149" spans="2:7">
      <c r="B149" s="15"/>
      <c r="C149" s="14"/>
      <c r="D149" s="8"/>
      <c r="E149" s="8"/>
      <c r="F149" s="8"/>
      <c r="G149" s="4"/>
    </row>
    <row r="150" spans="2:7">
      <c r="B150" s="13"/>
      <c r="C150" s="13"/>
      <c r="D150" s="8"/>
      <c r="E150" s="8"/>
      <c r="F150" s="8"/>
      <c r="G150" s="4"/>
    </row>
    <row r="151" spans="2:7">
      <c r="B151" s="13"/>
      <c r="C151" s="13"/>
      <c r="D151" s="8"/>
      <c r="E151" s="8"/>
      <c r="F151" s="8"/>
      <c r="G151" s="4"/>
    </row>
    <row r="152" spans="2:7">
      <c r="B152" s="13"/>
      <c r="C152" s="13"/>
      <c r="D152" s="8"/>
      <c r="E152" s="8"/>
      <c r="F152" s="8"/>
      <c r="G152" s="4"/>
    </row>
    <row r="153" spans="2:7">
      <c r="B153" s="13"/>
      <c r="C153" s="13"/>
      <c r="D153" s="8"/>
      <c r="E153" s="8"/>
      <c r="F153" s="8"/>
      <c r="G153" s="4"/>
    </row>
    <row r="154" spans="2:7">
      <c r="B154" s="13"/>
      <c r="C154" s="13"/>
      <c r="D154" s="8"/>
      <c r="E154" s="8"/>
      <c r="F154" s="8"/>
      <c r="G154" s="4"/>
    </row>
    <row r="155" spans="2:7">
      <c r="B155" s="15"/>
      <c r="C155" s="14"/>
      <c r="D155" s="8"/>
      <c r="E155" s="8"/>
      <c r="F155" s="8"/>
      <c r="G155" s="4"/>
    </row>
    <row r="156" spans="2:7">
      <c r="B156" s="13"/>
      <c r="C156" s="13"/>
      <c r="D156" s="8"/>
      <c r="E156" s="8"/>
      <c r="F156" s="8"/>
      <c r="G156" s="4"/>
    </row>
    <row r="157" spans="2:7">
      <c r="B157" s="13"/>
      <c r="C157" s="13"/>
      <c r="D157" s="8"/>
      <c r="E157" s="8"/>
      <c r="F157" s="8"/>
      <c r="G157" s="4"/>
    </row>
    <row r="158" spans="2:7">
      <c r="B158" s="13"/>
      <c r="C158" s="13"/>
      <c r="D158" s="8"/>
      <c r="E158" s="8"/>
      <c r="F158" s="8"/>
      <c r="G158" s="4"/>
    </row>
    <row r="159" spans="2:7">
      <c r="B159" s="15"/>
      <c r="C159" s="14"/>
      <c r="D159" s="8"/>
      <c r="E159" s="8"/>
      <c r="F159" s="8"/>
      <c r="G159" s="4"/>
    </row>
    <row r="160" spans="2:7">
      <c r="B160" s="13"/>
      <c r="C160" s="13"/>
      <c r="D160" s="8"/>
      <c r="E160" s="8"/>
      <c r="F160" s="8"/>
      <c r="G160" s="4"/>
    </row>
    <row r="161" spans="2:7">
      <c r="B161" s="13"/>
      <c r="C161" s="13"/>
      <c r="D161" s="8"/>
      <c r="E161" s="8"/>
      <c r="F161" s="8"/>
      <c r="G161" s="4"/>
    </row>
    <row r="162" spans="2:7">
      <c r="B162" s="13"/>
      <c r="C162" s="13"/>
      <c r="D162" s="8"/>
      <c r="E162" s="8"/>
      <c r="F162" s="8"/>
      <c r="G162" s="4"/>
    </row>
    <row r="163" spans="2:7">
      <c r="B163" s="13"/>
      <c r="C163" s="13"/>
      <c r="D163" s="8"/>
      <c r="E163" s="8"/>
      <c r="F163" s="8"/>
      <c r="G163" s="4"/>
    </row>
    <row r="164" spans="2:7">
      <c r="B164" s="13"/>
      <c r="C164" s="13"/>
      <c r="D164" s="8"/>
      <c r="E164" s="8"/>
      <c r="F164" s="8"/>
      <c r="G164" s="4"/>
    </row>
    <row r="165" spans="2:7">
      <c r="B165" s="13"/>
      <c r="C165" s="13"/>
      <c r="D165" s="8"/>
      <c r="E165" s="8"/>
      <c r="F165" s="8"/>
      <c r="G165" s="4"/>
    </row>
    <row r="166" spans="2:7">
      <c r="B166" s="13"/>
      <c r="C166" s="13"/>
      <c r="D166" s="8"/>
      <c r="E166" s="8"/>
      <c r="F166" s="8"/>
      <c r="G166" s="4"/>
    </row>
    <row r="167" spans="2:7">
      <c r="B167" s="13"/>
      <c r="C167" s="13"/>
      <c r="D167" s="12"/>
      <c r="E167" s="8"/>
      <c r="F167" s="8"/>
      <c r="G167" s="4"/>
    </row>
    <row r="168" spans="2:7">
      <c r="B168" s="15"/>
      <c r="C168" s="14"/>
      <c r="D168" s="12"/>
      <c r="E168" s="8"/>
      <c r="F168" s="8"/>
      <c r="G168" s="4"/>
    </row>
    <row r="169" spans="2:7">
      <c r="B169" s="13"/>
      <c r="C169" s="13"/>
      <c r="D169" s="12"/>
      <c r="E169" s="8"/>
      <c r="F169" s="8"/>
      <c r="G169" s="4"/>
    </row>
    <row r="170" spans="2:7">
      <c r="B170" s="13"/>
      <c r="C170" s="13"/>
      <c r="D170" s="12"/>
      <c r="E170" s="8"/>
      <c r="F170" s="8"/>
      <c r="G170" s="4"/>
    </row>
    <row r="171" spans="2:7">
      <c r="B171" s="13"/>
      <c r="C171" s="13"/>
      <c r="D171" s="12"/>
      <c r="E171" s="8"/>
      <c r="F171" s="8"/>
      <c r="G171" s="4"/>
    </row>
    <row r="172" spans="2:7">
      <c r="B172" s="13"/>
      <c r="C172" s="13"/>
      <c r="D172" s="12"/>
      <c r="E172" s="8"/>
      <c r="F172" s="8"/>
      <c r="G172" s="4"/>
    </row>
    <row r="173" spans="2:7">
      <c r="B173" s="15"/>
      <c r="C173" s="14"/>
      <c r="D173" s="12"/>
      <c r="E173" s="8"/>
      <c r="F173" s="8"/>
      <c r="G173" s="4"/>
    </row>
    <row r="174" spans="2:7">
      <c r="B174" s="13"/>
      <c r="C174" s="13"/>
      <c r="D174" s="12"/>
      <c r="E174" s="8"/>
      <c r="F174" s="8"/>
      <c r="G174" s="4"/>
    </row>
    <row r="175" spans="2:7">
      <c r="B175" s="13"/>
      <c r="C175" s="13"/>
      <c r="D175" s="12"/>
      <c r="E175" s="8"/>
      <c r="F175" s="8"/>
      <c r="G175" s="4"/>
    </row>
    <row r="176" spans="2:7">
      <c r="B176" s="13"/>
      <c r="C176" s="13"/>
      <c r="D176" s="12"/>
      <c r="E176" s="8"/>
      <c r="F176" s="8"/>
      <c r="G176" s="4"/>
    </row>
    <row r="177" spans="2:7">
      <c r="B177" s="13"/>
      <c r="C177" s="13"/>
      <c r="D177" s="12"/>
      <c r="E177" s="8"/>
      <c r="F177" s="8"/>
      <c r="G177" s="4"/>
    </row>
    <row r="178" spans="2:7">
      <c r="B178" s="15"/>
      <c r="C178" s="14"/>
      <c r="D178" s="12"/>
      <c r="E178" s="8"/>
      <c r="F178" s="8"/>
      <c r="G178" s="4"/>
    </row>
    <row r="179" spans="2:7">
      <c r="B179" s="13"/>
      <c r="C179" s="13"/>
      <c r="D179" s="12"/>
      <c r="E179" s="8"/>
      <c r="F179" s="8"/>
      <c r="G179" s="4"/>
    </row>
    <row r="180" spans="2:7">
      <c r="B180" s="13"/>
      <c r="C180" s="13"/>
      <c r="D180" s="12"/>
      <c r="E180" s="8"/>
      <c r="F180" s="8"/>
      <c r="G180" s="4"/>
    </row>
    <row r="181" spans="2:7">
      <c r="B181" s="13"/>
      <c r="C181" s="13"/>
      <c r="D181" s="12"/>
      <c r="E181" s="8"/>
      <c r="F181" s="8"/>
      <c r="G181" s="4"/>
    </row>
    <row r="182" spans="2:7">
      <c r="B182" s="13"/>
      <c r="C182" s="13"/>
      <c r="D182" s="12"/>
      <c r="E182" s="8"/>
      <c r="F182" s="8"/>
      <c r="G182" s="4"/>
    </row>
    <row r="183" spans="2:7">
      <c r="B183" s="13"/>
      <c r="C183" s="13"/>
      <c r="D183" s="12"/>
      <c r="E183" s="8"/>
      <c r="F183" s="8"/>
      <c r="G183" s="4"/>
    </row>
    <row r="184" spans="2:7">
      <c r="B184" s="13"/>
      <c r="C184" s="13"/>
      <c r="D184" s="12"/>
      <c r="E184" s="8"/>
      <c r="F184" s="8"/>
      <c r="G184" s="4"/>
    </row>
    <row r="185" spans="2:7">
      <c r="B185" s="13"/>
      <c r="C185" s="13"/>
      <c r="D185" s="12"/>
      <c r="E185" s="8"/>
      <c r="F185" s="8"/>
      <c r="G185" s="4"/>
    </row>
    <row r="186" spans="2:7">
      <c r="B186" s="13"/>
      <c r="C186" s="13"/>
      <c r="D186" s="12"/>
      <c r="E186" s="8"/>
      <c r="F186" s="8"/>
      <c r="G186" s="4"/>
    </row>
    <row r="187" spans="2:7">
      <c r="B187" s="13"/>
      <c r="C187" s="13"/>
      <c r="D187" s="12"/>
      <c r="E187" s="12"/>
      <c r="F187" s="12"/>
      <c r="G187" s="12"/>
    </row>
    <row r="188" spans="2:7">
      <c r="B188" s="13"/>
      <c r="C188" s="13"/>
      <c r="D188" s="12"/>
      <c r="E188" s="12"/>
      <c r="F188" s="12"/>
      <c r="G188" s="12"/>
    </row>
    <row r="189" spans="2:7">
      <c r="B189" s="13"/>
      <c r="C189" s="13"/>
      <c r="D189" s="12"/>
      <c r="E189" s="12"/>
      <c r="F189" s="12"/>
      <c r="G189" s="12"/>
    </row>
    <row r="190" spans="2:7">
      <c r="B190" s="13"/>
      <c r="C190" s="13"/>
      <c r="D190" s="12"/>
      <c r="E190" s="12"/>
      <c r="F190" s="12"/>
      <c r="G190" s="12"/>
    </row>
    <row r="191" spans="2:7">
      <c r="B191" s="13"/>
      <c r="C191" s="13"/>
      <c r="D191" s="12"/>
      <c r="E191" s="12"/>
      <c r="F191" s="12"/>
      <c r="G191" s="12"/>
    </row>
    <row r="192" spans="2:7">
      <c r="B192" s="13"/>
      <c r="C192" s="13"/>
      <c r="D192" s="12"/>
      <c r="E192" s="12"/>
      <c r="F192" s="12"/>
      <c r="G192" s="12"/>
    </row>
    <row r="193" spans="2:7">
      <c r="B193" s="13"/>
      <c r="C193" s="13"/>
      <c r="D193" s="12"/>
      <c r="E193" s="12"/>
      <c r="F193" s="12"/>
      <c r="G193" s="12"/>
    </row>
    <row r="194" spans="2:7">
      <c r="B194" s="13"/>
      <c r="C194" s="13"/>
      <c r="D194" s="12"/>
      <c r="E194" s="12"/>
      <c r="F194" s="12"/>
      <c r="G194" s="12"/>
    </row>
    <row r="195" spans="2:7">
      <c r="B195" s="13"/>
      <c r="C195" s="13"/>
      <c r="D195" s="12"/>
      <c r="E195" s="12"/>
      <c r="F195" s="12"/>
      <c r="G195" s="12"/>
    </row>
    <row r="196" spans="2:7">
      <c r="B196" s="13"/>
      <c r="C196" s="13"/>
      <c r="D196" s="12"/>
      <c r="E196" s="12"/>
      <c r="F196" s="12"/>
      <c r="G196" s="12"/>
    </row>
    <row r="197" spans="2:7">
      <c r="B197" s="13"/>
      <c r="C197" s="13"/>
      <c r="D197" s="12"/>
      <c r="E197" s="12"/>
      <c r="F197" s="12"/>
      <c r="G197" s="12"/>
    </row>
    <row r="198" spans="2:7">
      <c r="B198" s="13"/>
      <c r="C198" s="13"/>
      <c r="D198" s="12"/>
      <c r="E198" s="12"/>
      <c r="F198" s="12"/>
      <c r="G198" s="12"/>
    </row>
    <row r="199" spans="2:7">
      <c r="B199" s="13"/>
      <c r="C199" s="13"/>
      <c r="D199" s="12"/>
      <c r="E199" s="12"/>
      <c r="F199" s="12"/>
      <c r="G199" s="12"/>
    </row>
    <row r="200" spans="2:7">
      <c r="B200" s="13"/>
      <c r="C200" s="13"/>
      <c r="D200" s="12"/>
      <c r="E200" s="12"/>
      <c r="F200" s="12"/>
      <c r="G200" s="12"/>
    </row>
    <row r="201" spans="2:7">
      <c r="B201" s="13"/>
      <c r="C201" s="13"/>
      <c r="D201" s="12"/>
      <c r="E201" s="12"/>
      <c r="F201" s="12"/>
      <c r="G201" s="12"/>
    </row>
    <row r="202" spans="2:7">
      <c r="B202" s="13"/>
      <c r="C202" s="13"/>
      <c r="D202" s="12"/>
      <c r="E202" s="12"/>
      <c r="F202" s="12"/>
      <c r="G202" s="12"/>
    </row>
    <row r="203" spans="2:7">
      <c r="B203" s="13"/>
      <c r="C203" s="13"/>
      <c r="D203" s="12"/>
      <c r="E203" s="12"/>
      <c r="F203" s="12"/>
      <c r="G203" s="12"/>
    </row>
    <row r="204" spans="2:7">
      <c r="B204" s="13"/>
      <c r="C204" s="13"/>
      <c r="D204" s="12"/>
      <c r="E204" s="12"/>
      <c r="F204" s="12"/>
      <c r="G204" s="12"/>
    </row>
    <row r="205" spans="2:7">
      <c r="B205" s="13"/>
      <c r="C205" s="13"/>
      <c r="D205" s="12"/>
      <c r="E205" s="12"/>
      <c r="F205" s="12"/>
      <c r="G205" s="12"/>
    </row>
    <row r="206" spans="2:7">
      <c r="B206" s="13"/>
      <c r="C206" s="13"/>
      <c r="D206" s="12"/>
      <c r="E206" s="12"/>
      <c r="F206" s="12"/>
      <c r="G206" s="12"/>
    </row>
    <row r="207" spans="2:7">
      <c r="B207" s="13"/>
      <c r="C207" s="13"/>
      <c r="D207" s="12"/>
      <c r="E207" s="12"/>
      <c r="F207" s="12"/>
      <c r="G207" s="12"/>
    </row>
    <row r="208" spans="2:7">
      <c r="B208" s="13"/>
      <c r="C208" s="13"/>
      <c r="D208" s="12"/>
      <c r="E208" s="12"/>
      <c r="F208" s="12"/>
      <c r="G208" s="12"/>
    </row>
    <row r="209" spans="2:7">
      <c r="B209" s="13"/>
      <c r="C209" s="13"/>
      <c r="D209" s="12"/>
      <c r="E209" s="12"/>
      <c r="F209" s="12"/>
      <c r="G209" s="12"/>
    </row>
    <row r="210" spans="2:7">
      <c r="B210" s="13"/>
      <c r="C210" s="13"/>
      <c r="D210" s="12"/>
      <c r="E210" s="12"/>
      <c r="F210" s="12"/>
      <c r="G210" s="12"/>
    </row>
    <row r="211" spans="2:7">
      <c r="B211" s="13"/>
      <c r="C211" s="13"/>
      <c r="D211" s="12"/>
      <c r="E211" s="12"/>
      <c r="F211" s="12"/>
      <c r="G211" s="12"/>
    </row>
    <row r="212" spans="2:7">
      <c r="B212" s="13"/>
      <c r="C212" s="13"/>
      <c r="D212" s="12"/>
      <c r="E212" s="12"/>
      <c r="F212" s="12"/>
      <c r="G212" s="12"/>
    </row>
    <row r="213" spans="2:7">
      <c r="B213" s="13"/>
      <c r="C213" s="13"/>
      <c r="D213" s="12"/>
      <c r="E213" s="12"/>
      <c r="F213" s="12"/>
      <c r="G213" s="12"/>
    </row>
    <row r="214" spans="2:7">
      <c r="B214" s="13"/>
      <c r="C214" s="13"/>
      <c r="D214" s="12"/>
      <c r="E214" s="12"/>
      <c r="F214" s="12"/>
      <c r="G214" s="12"/>
    </row>
    <row r="215" spans="2:7">
      <c r="B215" s="13"/>
      <c r="C215" s="13"/>
      <c r="D215" s="12"/>
      <c r="E215" s="12"/>
      <c r="F215" s="12"/>
      <c r="G215" s="12"/>
    </row>
    <row r="216" spans="2:7">
      <c r="B216" s="13"/>
      <c r="C216" s="13"/>
      <c r="D216" s="12"/>
      <c r="E216" s="12"/>
      <c r="F216" s="12"/>
      <c r="G216" s="12"/>
    </row>
    <row r="217" spans="2:7">
      <c r="B217" s="13"/>
      <c r="C217" s="13"/>
      <c r="D217" s="12"/>
      <c r="E217" s="12"/>
      <c r="F217" s="12"/>
      <c r="G217" s="12"/>
    </row>
    <row r="218" spans="2:7">
      <c r="B218" s="13"/>
      <c r="C218" s="13"/>
      <c r="D218" s="12"/>
      <c r="E218" s="12"/>
      <c r="F218" s="12"/>
      <c r="G218" s="12"/>
    </row>
    <row r="219" spans="2:7">
      <c r="B219" s="13"/>
      <c r="C219" s="13"/>
      <c r="D219" s="12"/>
      <c r="E219" s="12"/>
      <c r="F219" s="12"/>
      <c r="G219" s="12"/>
    </row>
    <row r="220" spans="2:7">
      <c r="B220" s="13"/>
      <c r="C220" s="13"/>
      <c r="D220" s="12"/>
      <c r="E220" s="12"/>
      <c r="F220" s="12"/>
      <c r="G220" s="12"/>
    </row>
    <row r="221" spans="2:7">
      <c r="B221" s="13"/>
      <c r="C221" s="13"/>
      <c r="D221" s="12"/>
      <c r="E221" s="12"/>
      <c r="F221" s="12"/>
      <c r="G221" s="12"/>
    </row>
    <row r="222" spans="2:7">
      <c r="B222" s="13"/>
      <c r="C222" s="13"/>
      <c r="D222" s="12"/>
      <c r="E222" s="12"/>
      <c r="F222" s="12"/>
      <c r="G222" s="12"/>
    </row>
    <row r="223" spans="2:7">
      <c r="B223" s="13"/>
      <c r="C223" s="13"/>
      <c r="D223" s="12"/>
      <c r="E223" s="12"/>
      <c r="F223" s="12"/>
      <c r="G223" s="12"/>
    </row>
    <row r="224" spans="2:7">
      <c r="B224" s="13"/>
      <c r="C224" s="13"/>
      <c r="D224" s="12"/>
      <c r="E224" s="12"/>
      <c r="F224" s="12"/>
      <c r="G224" s="12"/>
    </row>
    <row r="225" spans="2:7">
      <c r="B225" s="13"/>
      <c r="C225" s="13"/>
      <c r="D225" s="12"/>
      <c r="E225" s="12"/>
      <c r="F225" s="12"/>
      <c r="G225" s="12"/>
    </row>
    <row r="226" spans="2:7">
      <c r="B226" s="8"/>
      <c r="C226" s="13"/>
      <c r="D226" s="12"/>
      <c r="E226" s="12"/>
      <c r="F226" s="12"/>
      <c r="G226" s="12"/>
    </row>
    <row r="227" spans="2:7">
      <c r="B227" s="8"/>
      <c r="C227" s="13"/>
      <c r="D227" s="12"/>
      <c r="E227" s="12"/>
      <c r="F227" s="12"/>
      <c r="G227" s="12"/>
    </row>
  </sheetData>
  <phoneticPr fontId="2" type="noConversion"/>
  <conditionalFormatting sqref="E19:E186 E1">
    <cfRule type="cellIs" dxfId="9" priority="2" operator="between">
      <formula>1</formula>
      <formula>64</formula>
    </cfRule>
  </conditionalFormatting>
  <conditionalFormatting sqref="E19:E186 E1">
    <cfRule type="uniqueValues" dxfId="8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S136"/>
  <sheetViews>
    <sheetView topLeftCell="A85" workbookViewId="0">
      <selection activeCell="C11" sqref="C11"/>
    </sheetView>
  </sheetViews>
  <sheetFormatPr defaultColWidth="9" defaultRowHeight="12.75"/>
  <cols>
    <col min="1" max="1" width="9" style="1" customWidth="1"/>
    <col min="2" max="2" width="9" style="1"/>
    <col min="3" max="3" width="44.125" style="3" customWidth="1"/>
    <col min="4" max="4" width="17.5" style="2" customWidth="1"/>
    <col min="5" max="5" width="9" style="1"/>
    <col min="6" max="6" width="8.25" style="1" customWidth="1"/>
    <col min="7" max="7" width="40.875" style="1" customWidth="1"/>
    <col min="8" max="9" width="9" style="2"/>
    <col min="10" max="10" width="8.25" style="2" customWidth="1"/>
    <col min="11" max="11" width="9.125" style="1" customWidth="1"/>
    <col min="12" max="16384" width="9" style="1"/>
  </cols>
  <sheetData>
    <row r="1" spans="2:19" ht="13.5" thickBot="1">
      <c r="B1" s="5" t="s">
        <v>24</v>
      </c>
      <c r="C1" s="9"/>
      <c r="D1" s="5" t="s">
        <v>23</v>
      </c>
      <c r="L1" s="4"/>
      <c r="M1" s="4"/>
      <c r="N1" s="4"/>
      <c r="O1" s="4"/>
      <c r="P1" s="4"/>
      <c r="Q1" s="4"/>
      <c r="R1" s="4"/>
      <c r="S1" s="4"/>
    </row>
    <row r="2" spans="2:19" ht="26.25" thickBot="1">
      <c r="B2" s="5">
        <v>1</v>
      </c>
      <c r="C2" s="6" t="s">
        <v>21</v>
      </c>
      <c r="D2" s="5" t="str">
        <f>IF(COUNTIF(Assign!$E:$E,B2)=1,"Occupied",IF(COUNTIF(Assign!$E:$E,B2)=0,"Not Used","Duplicate definitions"))</f>
        <v>Occupied</v>
      </c>
      <c r="L2" s="8"/>
      <c r="M2" s="8"/>
      <c r="N2" s="4"/>
      <c r="O2" s="4"/>
      <c r="P2" s="8"/>
      <c r="Q2" s="8"/>
      <c r="R2" s="4"/>
      <c r="S2" s="4"/>
    </row>
    <row r="3" spans="2:19" ht="13.5" thickBot="1">
      <c r="B3" s="7">
        <v>2</v>
      </c>
      <c r="C3" s="6" t="s">
        <v>110</v>
      </c>
      <c r="D3" s="5"/>
      <c r="L3" s="8"/>
      <c r="M3" s="8"/>
      <c r="N3" s="4"/>
      <c r="O3" s="4"/>
      <c r="P3" s="8"/>
      <c r="Q3" s="8"/>
      <c r="R3" s="4"/>
      <c r="S3" s="4"/>
    </row>
    <row r="4" spans="2:19" ht="13.5" thickBot="1">
      <c r="B4" s="7">
        <v>3</v>
      </c>
      <c r="C4" s="6" t="s">
        <v>175</v>
      </c>
      <c r="D4" s="5"/>
      <c r="L4" s="8"/>
      <c r="M4" s="8"/>
      <c r="N4" s="4"/>
      <c r="O4" s="4"/>
      <c r="P4" s="8"/>
      <c r="Q4" s="8"/>
      <c r="R4" s="4"/>
      <c r="S4" s="4"/>
    </row>
    <row r="5" spans="2:19" ht="13.5" thickBot="1">
      <c r="B5" s="7">
        <v>4</v>
      </c>
      <c r="C5" s="6" t="s">
        <v>173</v>
      </c>
      <c r="D5" s="5"/>
      <c r="L5" s="8"/>
      <c r="M5" s="8"/>
      <c r="N5" s="4"/>
      <c r="O5" s="4"/>
      <c r="P5" s="8"/>
      <c r="Q5" s="8"/>
      <c r="R5" s="4"/>
      <c r="S5" s="4"/>
    </row>
    <row r="6" spans="2:19" ht="13.5" thickBot="1">
      <c r="B6" s="7">
        <v>5</v>
      </c>
      <c r="C6" s="6" t="s">
        <v>178</v>
      </c>
      <c r="D6" s="5"/>
      <c r="L6" s="8"/>
      <c r="M6" s="8"/>
      <c r="N6" s="4"/>
      <c r="O6" s="4"/>
      <c r="P6" s="8"/>
      <c r="Q6" s="8"/>
      <c r="R6" s="4"/>
      <c r="S6" s="4"/>
    </row>
    <row r="7" spans="2:19" ht="13.5" thickBot="1">
      <c r="B7" s="7">
        <v>6</v>
      </c>
      <c r="C7" s="6" t="s">
        <v>90</v>
      </c>
      <c r="D7" s="5" t="str">
        <f>IF(COUNTIF(Assign!$E:$E,B7)=1,"Occupied",IF(COUNTIF(Assign!$E:$E,B7)=0,"Not Used","Duplicate definitions"))</f>
        <v>Not Used</v>
      </c>
      <c r="L7" s="8"/>
      <c r="M7" s="8"/>
      <c r="N7" s="4"/>
      <c r="O7" s="4"/>
      <c r="P7" s="8"/>
      <c r="Q7" s="8"/>
      <c r="R7" s="4"/>
      <c r="S7" s="4"/>
    </row>
    <row r="8" spans="2:19" ht="13.5" thickBot="1">
      <c r="B8" s="7">
        <v>7</v>
      </c>
      <c r="C8" s="6" t="s">
        <v>91</v>
      </c>
      <c r="D8" s="5" t="str">
        <f>IF(COUNTIF(Assign!$E:$E,B8)=1,"Occupied",IF(COUNTIF(Assign!$E:$E,B8)=0,"Not Used","Duplicate definitions"))</f>
        <v>Not Used</v>
      </c>
      <c r="L8" s="8"/>
      <c r="M8" s="8"/>
      <c r="N8" s="4"/>
      <c r="O8" s="4"/>
      <c r="P8" s="8"/>
      <c r="Q8" s="8"/>
      <c r="R8" s="4"/>
      <c r="S8" s="4"/>
    </row>
    <row r="9" spans="2:19" ht="26.25" thickBot="1">
      <c r="B9" s="7">
        <v>8</v>
      </c>
      <c r="C9" s="6" t="s">
        <v>92</v>
      </c>
      <c r="D9" s="5" t="str">
        <f>IF(COUNTIF(Assign!$E:$E,B9)=1,"Occupied",IF(COUNTIF(Assign!$E:$E,B9)=0,"Not Used","Duplicate definitions"))</f>
        <v>Not Used</v>
      </c>
      <c r="L9" s="8"/>
      <c r="M9" s="8"/>
      <c r="N9" s="4"/>
      <c r="O9" s="4"/>
      <c r="P9" s="4"/>
      <c r="Q9" s="4"/>
      <c r="R9" s="4"/>
      <c r="S9" s="4"/>
    </row>
    <row r="10" spans="2:19" ht="13.5" thickBot="1">
      <c r="B10" s="7">
        <v>9</v>
      </c>
      <c r="C10" s="6" t="s">
        <v>20</v>
      </c>
      <c r="D10" s="5" t="str">
        <f>IF(COUNTIF(Assign!$E:$E,B10)=1,"Occupied",IF(COUNTIF(Assign!$E:$E,B10)=0,"Not Used","Duplicate definitions"))</f>
        <v>Not Used</v>
      </c>
      <c r="L10" s="8"/>
      <c r="M10" s="8"/>
      <c r="N10" s="4"/>
      <c r="O10" s="4"/>
      <c r="P10" s="4"/>
      <c r="Q10" s="4"/>
      <c r="R10" s="4"/>
      <c r="S10" s="4"/>
    </row>
    <row r="11" spans="2:19" ht="13.5" thickBot="1">
      <c r="B11" s="7">
        <v>10</v>
      </c>
      <c r="C11" s="6" t="s">
        <v>190</v>
      </c>
      <c r="D11" s="5" t="str">
        <f>IF(COUNTIF(Assign!$E:$E,B11)=1,"Occupied",IF(COUNTIF(Assign!$E:$E,B11)=0,"Not Used","Duplicate definitions"))</f>
        <v>Occupied</v>
      </c>
      <c r="L11" s="8"/>
      <c r="M11" s="8"/>
      <c r="N11" s="4"/>
      <c r="O11" s="4"/>
      <c r="P11" s="8"/>
      <c r="Q11" s="8"/>
      <c r="R11" s="4"/>
      <c r="S11" s="4"/>
    </row>
    <row r="12" spans="2:19" ht="13.5" thickBot="1">
      <c r="B12" s="7">
        <v>11</v>
      </c>
      <c r="C12" s="6" t="s">
        <v>174</v>
      </c>
      <c r="D12" s="5"/>
      <c r="L12" s="8"/>
      <c r="M12" s="8"/>
      <c r="N12" s="4"/>
      <c r="O12" s="4"/>
      <c r="P12" s="8"/>
      <c r="Q12" s="8"/>
      <c r="R12" s="4"/>
      <c r="S12" s="4"/>
    </row>
    <row r="13" spans="2:19" ht="13.5" thickBot="1">
      <c r="B13" s="7">
        <v>12</v>
      </c>
      <c r="C13" s="6" t="s">
        <v>179</v>
      </c>
      <c r="D13" s="5"/>
      <c r="L13" s="8"/>
      <c r="M13" s="8"/>
      <c r="N13" s="4"/>
      <c r="O13" s="4"/>
      <c r="P13" s="8"/>
      <c r="Q13" s="8"/>
      <c r="R13" s="4"/>
      <c r="S13" s="4"/>
    </row>
    <row r="14" spans="2:19" ht="13.5" thickBot="1">
      <c r="B14" s="7">
        <v>13</v>
      </c>
      <c r="C14" s="6" t="s">
        <v>136</v>
      </c>
      <c r="D14" s="5" t="str">
        <f>IF(COUNTIF(Assign!$E:$E,B14)=1,"Occupied",IF(COUNTIF(Assign!$E:$E,B14)=0,"Not Used","Duplicate definitions"))</f>
        <v>Not Used</v>
      </c>
      <c r="L14" s="8"/>
      <c r="M14" s="8"/>
      <c r="N14" s="4"/>
      <c r="O14" s="4"/>
      <c r="P14" s="8"/>
      <c r="Q14" s="8"/>
      <c r="R14" s="4"/>
      <c r="S14" s="4"/>
    </row>
    <row r="15" spans="2:19" ht="13.5" thickBot="1">
      <c r="B15" s="5">
        <v>14</v>
      </c>
      <c r="C15" s="6" t="s">
        <v>94</v>
      </c>
      <c r="D15" s="5" t="str">
        <f>IF(COUNTIF(Assign!$E:$E,B15)=1,"Occupied",IF(COUNTIF(Assign!$E:$E,B15)=0,"Not Used","Duplicate definitions"))</f>
        <v>Not Used</v>
      </c>
      <c r="L15" s="8"/>
      <c r="M15" s="8"/>
      <c r="N15" s="4"/>
      <c r="O15" s="4"/>
      <c r="P15" s="8"/>
      <c r="Q15" s="8"/>
      <c r="R15" s="4"/>
      <c r="S15" s="4"/>
    </row>
    <row r="16" spans="2:19" ht="13.5" thickBot="1">
      <c r="B16" s="5">
        <v>15</v>
      </c>
      <c r="C16" s="6" t="s">
        <v>124</v>
      </c>
      <c r="D16" s="5" t="str">
        <f>IF(COUNTIF(Assign!$E:$E,B16)=1,"Occupied",IF(COUNTIF(Assign!$E:$E,B16)=0,"Not Used","Duplicate definitions"))</f>
        <v>Not Used</v>
      </c>
      <c r="L16" s="8"/>
      <c r="M16" s="8"/>
      <c r="N16" s="4"/>
      <c r="O16" s="4"/>
      <c r="P16" s="8"/>
      <c r="Q16" s="8"/>
      <c r="R16" s="4"/>
      <c r="S16" s="4"/>
    </row>
    <row r="17" spans="2:19" ht="13.5" thickBot="1">
      <c r="B17" s="7">
        <v>16</v>
      </c>
      <c r="C17" s="6" t="s">
        <v>132</v>
      </c>
      <c r="D17" s="5" t="str">
        <f>IF(COUNTIF(Assign!$E:$E,B17)=1,"Occupied",IF(COUNTIF(Assign!$E:$E,B17)=0,"Not Used","Duplicate definitions"))</f>
        <v>Not Used</v>
      </c>
      <c r="L17" s="8"/>
      <c r="M17" s="8"/>
      <c r="N17" s="4"/>
      <c r="O17" s="4"/>
      <c r="P17" s="8"/>
      <c r="Q17" s="8"/>
      <c r="R17" s="4"/>
      <c r="S17" s="4"/>
    </row>
    <row r="18" spans="2:19" ht="13.5" thickBot="1">
      <c r="B18" s="7">
        <v>17</v>
      </c>
      <c r="C18" s="6" t="s">
        <v>118</v>
      </c>
      <c r="D18" s="5" t="str">
        <f>IF(COUNTIF(Assign!$E:$E,B18)=1,"Occupied",IF(COUNTIF(Assign!$E:$E,B18)=0,"Not Used","Duplicate definitions"))</f>
        <v>Occupied</v>
      </c>
      <c r="L18" s="8"/>
      <c r="M18" s="8"/>
      <c r="N18" s="4"/>
      <c r="O18" s="4"/>
      <c r="P18" s="4"/>
      <c r="Q18" s="4"/>
      <c r="R18" s="4"/>
      <c r="S18" s="4"/>
    </row>
    <row r="19" spans="2:19" ht="13.5" thickBot="1">
      <c r="B19" s="7">
        <v>18</v>
      </c>
      <c r="C19" s="6" t="s">
        <v>120</v>
      </c>
      <c r="D19" s="5" t="str">
        <f>IF(COUNTIF(Assign!$E:$E,B19)=1,"Occupied",IF(COUNTIF(Assign!$E:$E,B19)=0,"Not Used","Duplicate definitions"))</f>
        <v>Not Used</v>
      </c>
      <c r="L19" s="8"/>
      <c r="M19" s="8"/>
      <c r="N19" s="4"/>
      <c r="O19" s="4"/>
      <c r="P19" s="4"/>
      <c r="Q19" s="4"/>
      <c r="R19" s="4"/>
      <c r="S19" s="4"/>
    </row>
    <row r="20" spans="2:19" ht="13.5" thickBot="1">
      <c r="B20" s="7">
        <v>19</v>
      </c>
      <c r="C20" s="6" t="s">
        <v>112</v>
      </c>
      <c r="D20" s="5" t="str">
        <f>IF(COUNTIF(Assign!$E:$E,B20)=1,"Occupied",IF(COUNTIF(Assign!$E:$E,B20)=0,"Not Used","Duplicate definitions"))</f>
        <v>Occupied</v>
      </c>
      <c r="L20" s="8"/>
      <c r="M20" s="8"/>
      <c r="N20" s="4"/>
      <c r="O20" s="4"/>
      <c r="P20" s="8"/>
      <c r="Q20" s="8"/>
      <c r="R20" s="4"/>
      <c r="S20" s="4"/>
    </row>
    <row r="21" spans="2:19" ht="13.5" thickBot="1">
      <c r="B21" s="7">
        <v>20</v>
      </c>
      <c r="C21" s="6" t="s">
        <v>126</v>
      </c>
      <c r="D21" s="5" t="str">
        <f>IF(COUNTIF(Assign!$E:$E,B21)=1,"Occupied",IF(COUNTIF(Assign!$E:$E,B21)=0,"Not Used","Duplicate definitions"))</f>
        <v>Not Used</v>
      </c>
      <c r="L21" s="4"/>
      <c r="M21" s="4"/>
      <c r="N21" s="4"/>
      <c r="O21" s="4"/>
      <c r="P21" s="8"/>
      <c r="Q21" s="8"/>
      <c r="R21" s="4"/>
      <c r="S21" s="4"/>
    </row>
    <row r="22" spans="2:19" ht="13.5" thickBot="1">
      <c r="B22" s="7">
        <v>21</v>
      </c>
      <c r="C22" s="6" t="s">
        <v>116</v>
      </c>
      <c r="D22" s="5" t="str">
        <f>IF(COUNTIF(Assign!$E:$E,B22)=1,"Occupied",IF(COUNTIF(Assign!$E:$E,B22)=0,"Not Used","Duplicate definitions"))</f>
        <v>Occupied</v>
      </c>
      <c r="L22" s="4"/>
      <c r="M22" s="4"/>
      <c r="N22" s="4"/>
      <c r="O22" s="4"/>
      <c r="P22" s="8"/>
      <c r="Q22" s="8"/>
      <c r="R22" s="4"/>
      <c r="S22" s="4"/>
    </row>
    <row r="23" spans="2:19" ht="13.5" thickBot="1">
      <c r="B23" s="7">
        <v>22</v>
      </c>
      <c r="C23" s="9" t="s">
        <v>19</v>
      </c>
      <c r="D23" s="5" t="str">
        <f>IF(COUNTIF(Assign!$E:$E,B23)=1,"Occupied",IF(COUNTIF(Assign!$E:$E,B23)=0,"Not Used","Duplicate definitions"))</f>
        <v>Occupied</v>
      </c>
      <c r="L23" s="8"/>
      <c r="M23" s="8"/>
      <c r="N23" s="4"/>
      <c r="O23" s="4"/>
      <c r="P23" s="8"/>
      <c r="Q23" s="8"/>
      <c r="R23" s="4"/>
      <c r="S23" s="4"/>
    </row>
    <row r="24" spans="2:19" ht="13.5" thickBot="1">
      <c r="B24" s="7">
        <v>23</v>
      </c>
      <c r="C24" s="9" t="s">
        <v>18</v>
      </c>
      <c r="D24" s="5" t="str">
        <f>IF(COUNTIF(Assign!$E:$E,B24)=1,"Occupied",IF(COUNTIF(Assign!$E:$E,B24)=0,"Not Used","Duplicate definitions"))</f>
        <v>Occupied</v>
      </c>
      <c r="L24" s="8"/>
      <c r="M24" s="8"/>
      <c r="N24" s="4"/>
      <c r="O24" s="4"/>
      <c r="P24" s="8"/>
      <c r="Q24" s="8"/>
      <c r="R24" s="4"/>
      <c r="S24" s="4"/>
    </row>
    <row r="25" spans="2:19" ht="13.5" thickBot="1">
      <c r="B25" s="7">
        <v>24</v>
      </c>
      <c r="C25" s="6" t="s">
        <v>127</v>
      </c>
      <c r="D25" s="5"/>
      <c r="L25" s="8"/>
      <c r="M25" s="8"/>
      <c r="N25" s="4"/>
      <c r="O25" s="4"/>
      <c r="P25" s="8"/>
      <c r="Q25" s="8"/>
      <c r="R25" s="4"/>
      <c r="S25" s="4"/>
    </row>
    <row r="26" spans="2:19" ht="13.5" thickBot="1">
      <c r="B26" s="7">
        <v>25</v>
      </c>
      <c r="C26" s="6" t="s">
        <v>128</v>
      </c>
      <c r="D26" s="5"/>
      <c r="L26" s="8"/>
      <c r="M26" s="8"/>
      <c r="N26" s="4"/>
      <c r="O26" s="4"/>
      <c r="P26" s="8"/>
      <c r="Q26" s="8"/>
      <c r="R26" s="4"/>
      <c r="S26" s="4"/>
    </row>
    <row r="27" spans="2:19" ht="13.5" thickBot="1">
      <c r="B27" s="7">
        <v>26</v>
      </c>
      <c r="C27" s="6" t="s">
        <v>129</v>
      </c>
      <c r="D27" s="5"/>
      <c r="L27" s="8"/>
      <c r="M27" s="8"/>
      <c r="N27" s="4"/>
      <c r="O27" s="4"/>
      <c r="P27" s="8"/>
      <c r="Q27" s="8"/>
      <c r="R27" s="4"/>
      <c r="S27" s="4"/>
    </row>
    <row r="28" spans="2:19" ht="13.5" thickBot="1">
      <c r="B28" s="7">
        <v>27</v>
      </c>
      <c r="C28" s="6" t="s">
        <v>130</v>
      </c>
      <c r="D28" s="5"/>
      <c r="L28" s="8"/>
      <c r="M28" s="8"/>
      <c r="N28" s="4"/>
      <c r="O28" s="4"/>
      <c r="P28" s="4"/>
      <c r="Q28" s="4"/>
      <c r="R28" s="4"/>
      <c r="S28" s="4"/>
    </row>
    <row r="29" spans="2:19" ht="26.25" thickBot="1">
      <c r="B29" s="7">
        <v>28</v>
      </c>
      <c r="C29" s="6" t="s">
        <v>138</v>
      </c>
      <c r="D29" s="5" t="str">
        <f>IF(COUNTIF(Assign!$E:$E,B29)=1,"Occupied",IF(COUNTIF(Assign!$E:$E,B29)=0,"Not Used","Duplicate definitions"))</f>
        <v>Occupied</v>
      </c>
      <c r="L29" s="8"/>
      <c r="M29" s="8"/>
      <c r="N29" s="4"/>
      <c r="O29" s="4"/>
      <c r="P29" s="4"/>
      <c r="Q29" s="4"/>
      <c r="R29" s="4"/>
      <c r="S29" s="4"/>
    </row>
    <row r="30" spans="2:19" ht="13.5" thickBot="1">
      <c r="B30" s="7">
        <v>29</v>
      </c>
      <c r="C30" s="6" t="s">
        <v>114</v>
      </c>
      <c r="D30" s="5" t="str">
        <f>IF(COUNTIF(Assign!$E:$E,B30)=1,"Occupied",IF(COUNTIF(Assign!$E:$E,B30)=0,"Not Used","Duplicate definitions"))</f>
        <v>Occupied</v>
      </c>
      <c r="L30" s="8"/>
      <c r="M30" s="8"/>
      <c r="N30" s="4"/>
      <c r="O30" s="4"/>
      <c r="P30" s="8"/>
      <c r="Q30" s="8"/>
      <c r="R30" s="4"/>
      <c r="S30" s="4"/>
    </row>
    <row r="31" spans="2:19" ht="13.5" thickBot="1">
      <c r="B31" s="7">
        <v>30</v>
      </c>
      <c r="C31" s="6" t="s">
        <v>122</v>
      </c>
      <c r="D31" s="5" t="str">
        <f>IF(COUNTIF(Assign!$E:$E,B31)=1,"Occupied",IF(COUNTIF(Assign!$E:$E,B31)=0,"Not Used","Duplicate definitions"))</f>
        <v>Not Used</v>
      </c>
      <c r="L31" s="8"/>
      <c r="M31" s="8"/>
      <c r="N31" s="4"/>
      <c r="O31" s="4"/>
      <c r="P31" s="8"/>
      <c r="Q31" s="8"/>
      <c r="R31" s="4"/>
      <c r="S31" s="4"/>
    </row>
    <row r="32" spans="2:19" ht="26.25" thickBot="1">
      <c r="B32" s="7">
        <v>31</v>
      </c>
      <c r="C32" s="6" t="s">
        <v>17</v>
      </c>
      <c r="D32" s="5" t="str">
        <f>IF(COUNTIF(Assign!$E:$E,B32)=1,"Occupied",IF(COUNTIF(Assign!$E:$E,B32)=0,"Not Used","Duplicate definitions"))</f>
        <v>Occupied</v>
      </c>
      <c r="L32" s="8"/>
      <c r="M32" s="8"/>
      <c r="N32" s="4"/>
      <c r="O32" s="4"/>
      <c r="P32" s="8"/>
      <c r="Q32" s="8"/>
      <c r="R32" s="4"/>
      <c r="S32" s="4"/>
    </row>
    <row r="33" spans="2:19" ht="13.5" thickBot="1">
      <c r="B33" s="7">
        <v>32</v>
      </c>
      <c r="C33" s="6" t="s">
        <v>16</v>
      </c>
      <c r="D33" s="5" t="str">
        <f>IF(COUNTIF(Assign!$E:$E,B33)=1,"Occupied",IF(COUNTIF(Assign!$E:$E,B33)=0,"Not Used","Duplicate definitions"))</f>
        <v>Not Used</v>
      </c>
      <c r="L33" s="8"/>
      <c r="M33" s="8"/>
      <c r="N33" s="4"/>
      <c r="O33" s="4"/>
      <c r="P33" s="8"/>
      <c r="Q33" s="8"/>
      <c r="R33" s="4"/>
      <c r="S33" s="4"/>
    </row>
    <row r="34" spans="2:19" ht="13.5" thickBot="1">
      <c r="B34" s="7">
        <v>33</v>
      </c>
      <c r="C34" s="6" t="s">
        <v>179</v>
      </c>
      <c r="D34" s="5"/>
      <c r="L34" s="8"/>
      <c r="M34" s="8"/>
      <c r="N34" s="4"/>
      <c r="O34" s="4"/>
      <c r="P34" s="8"/>
      <c r="Q34" s="8"/>
      <c r="R34" s="4"/>
      <c r="S34" s="4"/>
    </row>
    <row r="35" spans="2:19" ht="13.5" thickBot="1">
      <c r="B35" s="7">
        <v>34</v>
      </c>
      <c r="C35" s="6" t="s">
        <v>174</v>
      </c>
      <c r="D35" s="5"/>
      <c r="L35" s="8"/>
      <c r="M35" s="8"/>
      <c r="N35" s="4"/>
      <c r="O35" s="4"/>
      <c r="P35" s="4"/>
      <c r="Q35" s="4"/>
      <c r="R35" s="4"/>
      <c r="S35" s="4"/>
    </row>
    <row r="36" spans="2:19" ht="13.5" thickBot="1">
      <c r="B36" s="7">
        <v>35</v>
      </c>
      <c r="C36" s="6" t="s">
        <v>182</v>
      </c>
      <c r="D36" s="5" t="str">
        <f>IF(COUNTIF(Assign!$E:$E,B36)=1,"Occupied",IF(COUNTIF(Assign!$E:$E,B36)=0,"Not Used","Duplicate definitions"))</f>
        <v>Occupied</v>
      </c>
      <c r="L36" s="4"/>
      <c r="M36" s="4"/>
      <c r="N36" s="4"/>
      <c r="O36" s="4"/>
      <c r="P36" s="4"/>
      <c r="Q36" s="4"/>
      <c r="R36" s="4"/>
      <c r="S36" s="4"/>
    </row>
    <row r="37" spans="2:19" ht="13.5" thickBot="1">
      <c r="B37" s="7">
        <v>36</v>
      </c>
      <c r="C37" s="6" t="s">
        <v>15</v>
      </c>
      <c r="D37" s="5" t="str">
        <f>IF(COUNTIF(Assign!$E:$E,B37)=1,"Occupied",IF(COUNTIF(Assign!$E:$E,B37)=0,"Not Used","Duplicate definitions"))</f>
        <v>Occupied</v>
      </c>
      <c r="L37" s="4"/>
      <c r="M37" s="4"/>
      <c r="N37" s="4"/>
      <c r="O37" s="4"/>
      <c r="P37" s="8"/>
      <c r="Q37" s="8"/>
      <c r="R37" s="4"/>
      <c r="S37" s="4"/>
    </row>
    <row r="38" spans="2:19" ht="13.5" thickBot="1">
      <c r="B38" s="7">
        <v>37</v>
      </c>
      <c r="C38" s="6" t="s">
        <v>184</v>
      </c>
      <c r="D38" s="5" t="str">
        <f>IF(COUNTIF(Assign!$E:$E,B38)=1,"Occupied",IF(COUNTIF(Assign!$E:$E,B38)=0,"Not Used","Duplicate definitions"))</f>
        <v>Occupied</v>
      </c>
      <c r="L38" s="8"/>
      <c r="M38" s="8"/>
      <c r="N38" s="4"/>
      <c r="O38" s="4"/>
      <c r="P38" s="8"/>
      <c r="Q38" s="8"/>
      <c r="R38" s="4"/>
      <c r="S38" s="4"/>
    </row>
    <row r="39" spans="2:19" ht="13.5" thickBot="1">
      <c r="B39" s="7">
        <v>38</v>
      </c>
      <c r="C39" s="6" t="s">
        <v>186</v>
      </c>
      <c r="D39" s="5" t="str">
        <f>IF(COUNTIF(Assign!$E:$E,B39)=1,"Occupied",IF(COUNTIF(Assign!$E:$E,B39)=0,"Not Used","Duplicate definitions"))</f>
        <v>Occupied</v>
      </c>
      <c r="L39" s="8"/>
      <c r="M39" s="8"/>
      <c r="N39" s="4"/>
      <c r="O39" s="4"/>
      <c r="P39" s="8"/>
      <c r="Q39" s="8"/>
      <c r="R39" s="4"/>
      <c r="S39" s="4"/>
    </row>
    <row r="40" spans="2:19" ht="13.5" thickBot="1">
      <c r="B40" s="7">
        <v>39</v>
      </c>
      <c r="C40" s="6" t="s">
        <v>14</v>
      </c>
      <c r="D40" s="5" t="str">
        <f>IF(COUNTIF(Assign!$E:$E,B40)=1,"Occupied",IF(COUNTIF(Assign!$E:$E,B40)=0,"Not Used","Duplicate definitions"))</f>
        <v>Not Used</v>
      </c>
      <c r="L40" s="8"/>
      <c r="M40" s="8"/>
      <c r="N40" s="4"/>
      <c r="O40" s="4"/>
      <c r="P40" s="4"/>
      <c r="Q40" s="4"/>
      <c r="R40" s="4"/>
      <c r="S40" s="4"/>
    </row>
    <row r="41" spans="2:19" ht="13.5" thickBot="1">
      <c r="B41" s="7">
        <v>40</v>
      </c>
      <c r="C41" s="6" t="s">
        <v>13</v>
      </c>
      <c r="D41" s="5" t="str">
        <f>IF(COUNTIF(Assign!$E:$E,B41)=1,"Occupied",IF(COUNTIF(Assign!$E:$E,B41)=0,"Not Used","Duplicate definitions"))</f>
        <v>Not Used</v>
      </c>
      <c r="L41" s="8"/>
      <c r="M41" s="8"/>
      <c r="N41" s="4"/>
      <c r="O41" s="4"/>
      <c r="P41" s="4"/>
      <c r="Q41" s="4"/>
      <c r="R41" s="4"/>
      <c r="S41" s="4"/>
    </row>
    <row r="42" spans="2:19" ht="13.5" thickBot="1">
      <c r="B42" s="7">
        <v>41</v>
      </c>
      <c r="C42" s="6" t="s">
        <v>188</v>
      </c>
      <c r="D42" s="5" t="str">
        <f>IF(COUNTIF(Assign!$E:$E,B42)=1,"Occupied",IF(COUNTIF(Assign!$E:$E,B42)=0,"Not Used","Duplicate definitions"))</f>
        <v>Occupied</v>
      </c>
      <c r="L42" s="8"/>
      <c r="M42" s="8"/>
      <c r="N42" s="4"/>
      <c r="O42" s="4"/>
      <c r="P42" s="8"/>
      <c r="Q42" s="8"/>
      <c r="R42" s="4"/>
      <c r="S42" s="4"/>
    </row>
    <row r="43" spans="2:19" ht="13.5" thickBot="1">
      <c r="B43" s="7">
        <v>42</v>
      </c>
      <c r="C43" s="6" t="s">
        <v>140</v>
      </c>
      <c r="D43" s="5" t="str">
        <f>IF(COUNTIF(Assign!$E:$E,B43)=1,"Occupied",IF(COUNTIF(Assign!$E:$E,B43)=0,"Not Used","Duplicate definitions"))</f>
        <v>Not Used</v>
      </c>
      <c r="L43" s="8"/>
      <c r="M43" s="8"/>
      <c r="N43" s="4"/>
      <c r="O43" s="4"/>
      <c r="P43" s="8"/>
      <c r="Q43" s="8"/>
      <c r="R43" s="4"/>
      <c r="S43" s="4"/>
    </row>
    <row r="44" spans="2:19" ht="13.5" thickBot="1">
      <c r="B44" s="7">
        <v>43</v>
      </c>
      <c r="C44" s="6" t="s">
        <v>142</v>
      </c>
      <c r="D44" s="5" t="str">
        <f>IF(COUNTIF(Assign!$E:$E,B44)=1,"Occupied",IF(COUNTIF(Assign!$E:$E,B44)=0,"Not Used","Duplicate definitions"))</f>
        <v>Not Used</v>
      </c>
      <c r="L44" s="8"/>
      <c r="M44" s="8"/>
      <c r="N44" s="4"/>
      <c r="O44" s="4"/>
      <c r="P44" s="8"/>
      <c r="Q44" s="8"/>
      <c r="R44" s="4"/>
      <c r="S44" s="4"/>
    </row>
    <row r="45" spans="2:19" ht="13.5" thickBot="1">
      <c r="B45" s="7">
        <v>44</v>
      </c>
      <c r="C45" s="6" t="s">
        <v>134</v>
      </c>
      <c r="D45" s="5" t="str">
        <f>IF(COUNTIF(Assign!$E:$E,B45)=1,"Occupied",IF(COUNTIF(Assign!$E:$E,B45)=0,"Not Used","Duplicate definitions"))</f>
        <v>Occupied</v>
      </c>
      <c r="L45" s="8"/>
      <c r="M45" s="8"/>
      <c r="N45" s="4"/>
      <c r="O45" s="4"/>
      <c r="P45" s="8"/>
      <c r="Q45" s="8"/>
      <c r="R45" s="4"/>
      <c r="S45" s="4"/>
    </row>
    <row r="46" spans="2:19" ht="13.5" thickBot="1">
      <c r="B46" s="7">
        <v>45</v>
      </c>
      <c r="C46" s="6" t="s">
        <v>178</v>
      </c>
      <c r="D46" s="5"/>
      <c r="L46" s="4"/>
      <c r="M46" s="4"/>
      <c r="N46" s="4"/>
      <c r="O46" s="4"/>
      <c r="P46" s="8"/>
      <c r="Q46" s="8"/>
      <c r="R46" s="4"/>
      <c r="S46" s="4"/>
    </row>
    <row r="47" spans="2:19" ht="13.5" thickBot="1">
      <c r="B47" s="7">
        <v>46</v>
      </c>
      <c r="C47" s="6" t="s">
        <v>173</v>
      </c>
      <c r="D47" s="5"/>
      <c r="L47" s="4"/>
      <c r="M47" s="4"/>
      <c r="N47" s="4"/>
      <c r="O47" s="4"/>
      <c r="P47" s="8"/>
      <c r="Q47" s="8"/>
      <c r="R47" s="4"/>
      <c r="S47" s="4"/>
    </row>
    <row r="48" spans="2:19" ht="13.5" thickBot="1">
      <c r="B48" s="7">
        <v>47</v>
      </c>
      <c r="C48" s="6" t="s">
        <v>176</v>
      </c>
      <c r="D48" s="5"/>
      <c r="L48" s="8"/>
      <c r="M48" s="8"/>
      <c r="N48" s="4"/>
      <c r="O48" s="4"/>
      <c r="P48" s="8"/>
      <c r="Q48" s="8"/>
      <c r="R48" s="4"/>
      <c r="S48" s="4"/>
    </row>
    <row r="49" spans="2:19" ht="13.5" thickBot="1">
      <c r="B49" s="7">
        <v>48</v>
      </c>
      <c r="C49" s="6" t="s">
        <v>172</v>
      </c>
      <c r="D49" s="5"/>
      <c r="L49" s="8"/>
      <c r="M49" s="8"/>
      <c r="N49" s="4"/>
      <c r="O49" s="4"/>
      <c r="P49" s="8"/>
      <c r="Q49" s="8"/>
      <c r="R49" s="4"/>
      <c r="S49" s="4"/>
    </row>
    <row r="50" spans="2:19" ht="13.5" thickBot="1">
      <c r="B50" s="7">
        <v>49</v>
      </c>
      <c r="C50" s="6" t="s">
        <v>171</v>
      </c>
      <c r="D50" s="5"/>
      <c r="L50" s="8"/>
      <c r="M50" s="8"/>
      <c r="N50" s="4"/>
      <c r="O50" s="4"/>
      <c r="P50" s="4"/>
      <c r="Q50" s="4"/>
      <c r="R50" s="4"/>
      <c r="S50" s="4"/>
    </row>
    <row r="51" spans="2:19" ht="26.25" thickBot="1">
      <c r="B51" s="7">
        <v>50</v>
      </c>
      <c r="C51" s="6" t="s">
        <v>102</v>
      </c>
      <c r="D51" s="5" t="str">
        <f>IF(COUNTIF(Assign!$E:$E,B51)=1,"Occupied",IF(COUNTIF(Assign!$E:$E,B51)=0,"Not Used","Duplicate definitions"))</f>
        <v>Occupied</v>
      </c>
      <c r="L51" s="8"/>
      <c r="M51" s="8"/>
      <c r="N51" s="4"/>
      <c r="O51" s="4"/>
      <c r="P51" s="4"/>
      <c r="Q51" s="4"/>
      <c r="R51" s="4"/>
      <c r="S51" s="4"/>
    </row>
    <row r="52" spans="2:19" ht="26.25" thickBot="1">
      <c r="B52" s="7">
        <v>51</v>
      </c>
      <c r="C52" s="6" t="s">
        <v>101</v>
      </c>
      <c r="D52" s="5" t="str">
        <f>IF(COUNTIF(Assign!$E:$E,B52)=1,"Occupied",IF(COUNTIF(Assign!$E:$E,B52)=0,"Not Used","Duplicate definitions"))</f>
        <v>Occupied</v>
      </c>
      <c r="L52" s="8"/>
      <c r="M52" s="8"/>
      <c r="N52" s="4"/>
      <c r="O52" s="4"/>
      <c r="P52" s="8"/>
      <c r="Q52" s="8"/>
      <c r="R52" s="4"/>
      <c r="S52" s="4"/>
    </row>
    <row r="53" spans="2:19" ht="26.25" thickBot="1">
      <c r="B53" s="7">
        <v>52</v>
      </c>
      <c r="C53" s="6" t="s">
        <v>12</v>
      </c>
      <c r="D53" s="5" t="str">
        <f>IF(COUNTIF(Assign!$E:$E,B53)=1,"Occupied",IF(COUNTIF(Assign!$E:$E,B53)=0,"Not Used","Duplicate definitions"))</f>
        <v>Occupied</v>
      </c>
      <c r="L53" s="8"/>
      <c r="M53" s="8"/>
      <c r="N53" s="4"/>
      <c r="O53" s="4"/>
      <c r="P53" s="8"/>
      <c r="Q53" s="8"/>
      <c r="R53" s="4"/>
      <c r="S53" s="4"/>
    </row>
    <row r="54" spans="2:19" ht="26.25" thickBot="1">
      <c r="B54" s="7">
        <v>53</v>
      </c>
      <c r="C54" s="6" t="s">
        <v>11</v>
      </c>
      <c r="D54" s="5" t="str">
        <f>IF(COUNTIF(Assign!$E:$E,B54)=1,"Occupied",IF(COUNTIF(Assign!$E:$E,B54)=0,"Not Used","Duplicate definitions"))</f>
        <v>Occupied</v>
      </c>
      <c r="L54" s="8"/>
      <c r="M54" s="8"/>
      <c r="N54" s="4"/>
      <c r="O54" s="4"/>
      <c r="P54" s="8"/>
      <c r="Q54" s="8"/>
      <c r="R54" s="4"/>
      <c r="S54" s="4"/>
    </row>
    <row r="55" spans="2:19" ht="26.25" thickBot="1">
      <c r="B55" s="7">
        <v>54</v>
      </c>
      <c r="C55" s="6" t="s">
        <v>103</v>
      </c>
      <c r="D55" s="5" t="str">
        <f>IF(COUNTIF(Assign!$E:$E,B55)=1,"Occupied",IF(COUNTIF(Assign!$E:$E,B55)=0,"Not Used","Duplicate definitions"))</f>
        <v>Occupied</v>
      </c>
      <c r="L55" s="8"/>
      <c r="M55" s="8"/>
      <c r="N55" s="4"/>
      <c r="O55" s="4"/>
      <c r="P55" s="8"/>
      <c r="Q55" s="8"/>
      <c r="R55" s="4"/>
      <c r="S55" s="4"/>
    </row>
    <row r="56" spans="2:19" ht="26.25" thickBot="1">
      <c r="B56" s="7">
        <v>55</v>
      </c>
      <c r="C56" s="6" t="s">
        <v>104</v>
      </c>
      <c r="D56" s="5" t="str">
        <f>IF(COUNTIF(Assign!$E:$E,B56)=1,"Occupied",IF(COUNTIF(Assign!$E:$E,B56)=0,"Not Used","Duplicate definitions"))</f>
        <v>Occupied</v>
      </c>
      <c r="L56" s="8"/>
      <c r="M56" s="8"/>
      <c r="N56" s="4"/>
      <c r="O56" s="4"/>
      <c r="P56" s="4"/>
      <c r="Q56" s="4"/>
      <c r="R56" s="4"/>
      <c r="S56" s="4"/>
    </row>
    <row r="57" spans="2:19" ht="26.25" thickBot="1">
      <c r="B57" s="7">
        <v>56</v>
      </c>
      <c r="C57" s="6" t="s">
        <v>10</v>
      </c>
      <c r="D57" s="5" t="str">
        <f>IF(COUNTIF(Assign!$E:$E,B57)=1,"Occupied",IF(COUNTIF(Assign!$E:$E,B57)=0,"Not Used","Duplicate definitions"))</f>
        <v>Occupied</v>
      </c>
      <c r="L57" s="8"/>
      <c r="M57" s="8"/>
      <c r="N57" s="4"/>
      <c r="O57" s="4"/>
      <c r="P57" s="4"/>
      <c r="Q57" s="4"/>
      <c r="R57" s="4"/>
      <c r="S57" s="4"/>
    </row>
    <row r="58" spans="2:19" ht="26.25" thickBot="1">
      <c r="B58" s="7">
        <v>57</v>
      </c>
      <c r="C58" s="6" t="s">
        <v>148</v>
      </c>
      <c r="D58" s="5" t="str">
        <f>IF(COUNTIF(Assign!$E:$E,B58)=1,"Occupied",IF(COUNTIF(Assign!$E:$E,B58)=0,"Not Used","Duplicate definitions"))</f>
        <v>Occupied</v>
      </c>
      <c r="L58" s="8"/>
      <c r="M58" s="8"/>
      <c r="N58" s="4"/>
      <c r="O58" s="4"/>
      <c r="P58" s="8"/>
      <c r="Q58" s="8"/>
      <c r="R58" s="4"/>
      <c r="S58" s="4"/>
    </row>
    <row r="59" spans="2:19" ht="26.25" thickBot="1">
      <c r="B59" s="7">
        <v>58</v>
      </c>
      <c r="C59" s="6" t="s">
        <v>150</v>
      </c>
      <c r="D59" s="5" t="str">
        <f>IF(COUNTIF(Assign!$E:$E,B59)=1,"Occupied",IF(COUNTIF(Assign!$E:$E,B59)=0,"Not Used","Duplicate definitions"))</f>
        <v>Occupied</v>
      </c>
      <c r="L59" s="4"/>
      <c r="M59" s="4"/>
      <c r="N59" s="4"/>
      <c r="O59" s="4"/>
      <c r="P59" s="8"/>
      <c r="Q59" s="8"/>
      <c r="R59" s="4"/>
      <c r="S59" s="4"/>
    </row>
    <row r="60" spans="2:19" ht="26.25" thickBot="1">
      <c r="B60" s="7">
        <v>59</v>
      </c>
      <c r="C60" s="6" t="s">
        <v>152</v>
      </c>
      <c r="D60" s="5" t="str">
        <f>IF(COUNTIF(Assign!$E:$E,B60)=1,"Occupied",IF(COUNTIF(Assign!$E:$E,B60)=0,"Not Used","Duplicate definitions"))</f>
        <v>Not Used</v>
      </c>
      <c r="L60" s="4"/>
      <c r="M60" s="4"/>
      <c r="N60" s="4"/>
      <c r="O60" s="4"/>
      <c r="P60" s="8"/>
      <c r="Q60" s="8"/>
      <c r="R60" s="4"/>
      <c r="S60" s="4"/>
    </row>
    <row r="61" spans="2:19" ht="13.5" thickBot="1">
      <c r="B61" s="7">
        <v>60</v>
      </c>
      <c r="C61" s="6" t="s">
        <v>9</v>
      </c>
      <c r="D61" s="5"/>
      <c r="L61" s="8"/>
      <c r="M61" s="8"/>
      <c r="N61" s="4"/>
      <c r="O61" s="4"/>
      <c r="P61" s="8"/>
      <c r="Q61" s="8"/>
      <c r="R61" s="4"/>
      <c r="S61" s="4"/>
    </row>
    <row r="62" spans="2:19" ht="26.25" thickBot="1">
      <c r="B62" s="7">
        <v>61</v>
      </c>
      <c r="C62" s="6" t="s">
        <v>106</v>
      </c>
      <c r="D62" s="5" t="str">
        <f>IF(COUNTIF(Assign!$E:$E,B62)=1,"Occupied",IF(COUNTIF(Assign!$E:$E,B62)=0,"Not Used","Duplicate definitions"))</f>
        <v>Occupied</v>
      </c>
      <c r="L62" s="8"/>
      <c r="M62" s="8"/>
      <c r="N62" s="4"/>
      <c r="O62" s="4"/>
      <c r="P62" s="4"/>
      <c r="Q62" s="4"/>
      <c r="R62" s="4"/>
      <c r="S62" s="4"/>
    </row>
    <row r="63" spans="2:19" ht="13.5" thickBot="1">
      <c r="B63" s="7">
        <v>62</v>
      </c>
      <c r="C63" s="6" t="s">
        <v>107</v>
      </c>
      <c r="D63" s="5"/>
      <c r="L63" s="8"/>
      <c r="M63" s="8"/>
      <c r="N63" s="4"/>
      <c r="O63" s="4"/>
      <c r="P63" s="4"/>
      <c r="Q63" s="4"/>
      <c r="R63" s="4"/>
      <c r="S63" s="4"/>
    </row>
    <row r="64" spans="2:19" ht="26.25" thickBot="1">
      <c r="B64" s="7">
        <v>63</v>
      </c>
      <c r="C64" s="6" t="s">
        <v>8</v>
      </c>
      <c r="D64" s="5" t="str">
        <f>IF(COUNTIF(Assign!$E:$E,B64)=1,"Occupied",IF(COUNTIF(Assign!$E:$E,B64)=0,"Not Used","Duplicate definitions"))</f>
        <v>Occupied</v>
      </c>
      <c r="L64" s="8"/>
      <c r="M64" s="8"/>
      <c r="N64" s="4"/>
      <c r="O64" s="4"/>
      <c r="P64" s="4"/>
      <c r="Q64" s="4"/>
      <c r="R64" s="4"/>
      <c r="S64" s="4"/>
    </row>
    <row r="65" spans="2:19" ht="26.25" thickBot="1">
      <c r="B65" s="7">
        <v>64</v>
      </c>
      <c r="C65" s="6" t="s">
        <v>7</v>
      </c>
      <c r="D65" s="5" t="str">
        <f>IF(COUNTIF(Assign!$E:$E,B65)=1,"Occupied",IF(COUNTIF(Assign!$E:$E,B65)=0,"Not Used","Duplicate definitions"))</f>
        <v>Occupied</v>
      </c>
      <c r="L65" s="4"/>
      <c r="M65" s="4"/>
      <c r="N65" s="4"/>
      <c r="O65" s="4"/>
      <c r="P65" s="4"/>
      <c r="Q65" s="4"/>
      <c r="R65" s="4"/>
      <c r="S65" s="4"/>
    </row>
    <row r="66" spans="2:19" ht="26.25" thickBot="1">
      <c r="B66" s="7">
        <v>65</v>
      </c>
      <c r="C66" s="6" t="s">
        <v>164</v>
      </c>
      <c r="D66" s="5" t="str">
        <f>IF(COUNTIF(Assign!$E:$E,B66)=1,"Occupied",IF(COUNTIF(Assign!$E:$E,B66)=0,"Not Used","Duplicate definitions"))</f>
        <v>Not Used</v>
      </c>
      <c r="L66" s="4"/>
      <c r="M66" s="4"/>
      <c r="N66" s="4"/>
      <c r="O66" s="4"/>
      <c r="P66" s="8"/>
      <c r="Q66" s="8"/>
      <c r="R66" s="4"/>
      <c r="S66" s="4"/>
    </row>
    <row r="67" spans="2:19" ht="26.25" thickBot="1">
      <c r="B67" s="7">
        <v>66</v>
      </c>
      <c r="C67" s="6" t="s">
        <v>166</v>
      </c>
      <c r="D67" s="5" t="str">
        <f>IF(COUNTIF(Assign!$E:$E,B67)=1,"Occupied",IF(COUNTIF(Assign!$E:$E,B67)=0,"Not Used","Duplicate definitions"))</f>
        <v>Not Used</v>
      </c>
      <c r="L67" s="8"/>
      <c r="M67" s="8"/>
      <c r="N67" s="4"/>
      <c r="O67" s="4"/>
      <c r="P67" s="8"/>
      <c r="Q67" s="8"/>
      <c r="R67" s="4"/>
      <c r="S67" s="4"/>
    </row>
    <row r="68" spans="2:19" ht="26.25" thickBot="1">
      <c r="B68" s="7">
        <v>67</v>
      </c>
      <c r="C68" s="6" t="s">
        <v>168</v>
      </c>
      <c r="D68" s="5" t="str">
        <f>IF(COUNTIF(Assign!$E:$E,B68)=1,"Occupied",IF(COUNTIF(Assign!$E:$E,B68)=0,"Not Used","Duplicate definitions"))</f>
        <v>Not Used</v>
      </c>
      <c r="L68" s="8"/>
      <c r="M68" s="8"/>
      <c r="N68" s="4"/>
      <c r="O68" s="4"/>
      <c r="P68" s="8"/>
      <c r="Q68" s="8"/>
      <c r="R68" s="4"/>
      <c r="S68" s="4"/>
    </row>
    <row r="69" spans="2:19" ht="26.25" thickBot="1">
      <c r="B69" s="7">
        <v>68</v>
      </c>
      <c r="C69" s="6" t="s">
        <v>6</v>
      </c>
      <c r="D69" s="5" t="str">
        <f>IF(COUNTIF(Assign!$E:$E,B69)=1,"Occupied",IF(COUNTIF(Assign!$E:$E,B69)=0,"Not Used","Duplicate definitions"))</f>
        <v>Occupied</v>
      </c>
      <c r="L69" s="8"/>
      <c r="M69" s="8"/>
      <c r="N69" s="4"/>
      <c r="O69" s="4"/>
      <c r="P69" s="4"/>
      <c r="Q69" s="4"/>
      <c r="R69" s="4"/>
      <c r="S69" s="4"/>
    </row>
    <row r="70" spans="2:19" ht="13.5" thickBot="1">
      <c r="B70" s="7">
        <v>69</v>
      </c>
      <c r="C70" s="6" t="s">
        <v>109</v>
      </c>
      <c r="D70" s="5"/>
      <c r="L70" s="8"/>
      <c r="M70" s="8"/>
      <c r="N70" s="4"/>
      <c r="O70" s="4"/>
      <c r="P70" s="4"/>
      <c r="Q70" s="4"/>
      <c r="R70" s="4"/>
      <c r="S70" s="4"/>
    </row>
    <row r="71" spans="2:19" ht="13.5" thickBot="1">
      <c r="B71" s="7">
        <v>70</v>
      </c>
      <c r="C71" s="6" t="s">
        <v>176</v>
      </c>
      <c r="D71" s="5"/>
      <c r="L71" s="8"/>
      <c r="M71" s="8"/>
      <c r="N71" s="4"/>
      <c r="O71" s="4"/>
      <c r="P71" s="8"/>
      <c r="Q71" s="8"/>
      <c r="R71" s="4"/>
      <c r="S71" s="4"/>
    </row>
    <row r="72" spans="2:19" ht="13.5" thickBot="1">
      <c r="B72" s="7">
        <v>71</v>
      </c>
      <c r="C72" s="6" t="s">
        <v>173</v>
      </c>
      <c r="D72" s="5"/>
      <c r="L72" s="8"/>
      <c r="M72" s="8"/>
      <c r="N72" s="4"/>
      <c r="O72" s="4"/>
      <c r="P72" s="8"/>
      <c r="Q72" s="8"/>
      <c r="R72" s="4"/>
      <c r="S72" s="4"/>
    </row>
    <row r="73" spans="2:19" ht="13.5" thickBot="1">
      <c r="B73" s="7">
        <v>72</v>
      </c>
      <c r="C73" s="6" t="s">
        <v>178</v>
      </c>
      <c r="D73" s="5"/>
      <c r="L73" s="8"/>
      <c r="M73" s="8"/>
      <c r="N73" s="4"/>
      <c r="O73" s="4"/>
      <c r="P73" s="8"/>
      <c r="Q73" s="8"/>
      <c r="R73" s="4"/>
      <c r="S73" s="4"/>
    </row>
    <row r="74" spans="2:19" ht="13.5" thickBot="1">
      <c r="B74" s="7">
        <v>73</v>
      </c>
      <c r="C74" s="6" t="s">
        <v>108</v>
      </c>
      <c r="D74" s="5"/>
      <c r="L74" s="8"/>
      <c r="M74" s="8"/>
      <c r="N74" s="4"/>
      <c r="O74" s="4"/>
      <c r="P74" s="8"/>
      <c r="Q74" s="8"/>
      <c r="R74" s="4"/>
      <c r="S74" s="4"/>
    </row>
    <row r="75" spans="2:19" ht="26.25" thickBot="1">
      <c r="B75" s="7">
        <v>74</v>
      </c>
      <c r="C75" s="6" t="s">
        <v>99</v>
      </c>
      <c r="D75" s="5" t="str">
        <f>IF(COUNTIF(Assign!$E:$E,B75)=1,"Occupied",IF(COUNTIF(Assign!$E:$E,B75)=0,"Not Used","Duplicate definitions"))</f>
        <v>Not Used</v>
      </c>
      <c r="L75" s="8"/>
      <c r="M75" s="8"/>
      <c r="N75" s="4"/>
      <c r="O75" s="4"/>
      <c r="P75" s="4"/>
      <c r="Q75" s="4"/>
      <c r="R75" s="4"/>
      <c r="S75" s="4"/>
    </row>
    <row r="76" spans="2:19" ht="13.5" thickBot="1">
      <c r="B76" s="7">
        <v>75</v>
      </c>
      <c r="C76" s="6" t="s">
        <v>97</v>
      </c>
      <c r="D76" s="5" t="str">
        <f>IF(COUNTIF(Assign!$E:$E,B76)=1,"Occupied",IF(COUNTIF(Assign!$E:$E,B76)=0,"Not Used","Duplicate definitions"))</f>
        <v>Occupied</v>
      </c>
      <c r="L76" s="8"/>
      <c r="M76" s="8"/>
      <c r="N76" s="4"/>
      <c r="O76" s="4"/>
      <c r="P76" s="4"/>
      <c r="Q76" s="4"/>
      <c r="R76" s="4"/>
      <c r="S76" s="4"/>
    </row>
    <row r="77" spans="2:19" ht="26.25" thickBot="1">
      <c r="B77" s="7">
        <v>76</v>
      </c>
      <c r="C77" s="6" t="s">
        <v>96</v>
      </c>
      <c r="D77" s="5" t="str">
        <f>IF(COUNTIF(Assign!$E:$E,B77)=1,"Occupied",IF(COUNTIF(Assign!$E:$E,B77)=0,"Not Used","Duplicate definitions"))</f>
        <v>Not Used</v>
      </c>
      <c r="L77" s="8"/>
      <c r="M77" s="8"/>
      <c r="N77" s="4"/>
      <c r="O77" s="4"/>
      <c r="P77" s="8"/>
      <c r="Q77" s="8"/>
      <c r="R77" s="4"/>
      <c r="S77" s="4"/>
    </row>
    <row r="78" spans="2:19" ht="26.25" thickBot="1">
      <c r="B78" s="7">
        <v>77</v>
      </c>
      <c r="C78" s="6" t="s">
        <v>95</v>
      </c>
      <c r="D78" s="5" t="str">
        <f>IF(COUNTIF(Assign!$E:$E,B78)=1,"Occupied",IF(COUNTIF(Assign!$E:$E,B78)=0,"Not Used","Duplicate definitions"))</f>
        <v>Occupied</v>
      </c>
      <c r="L78" s="4"/>
      <c r="M78" s="4"/>
      <c r="N78" s="4"/>
      <c r="O78" s="4"/>
      <c r="P78" s="8"/>
      <c r="Q78" s="8"/>
      <c r="R78" s="4"/>
      <c r="S78" s="4"/>
    </row>
    <row r="79" spans="2:19" ht="13.5" thickBot="1">
      <c r="B79" s="7">
        <v>78</v>
      </c>
      <c r="C79" s="6" t="s">
        <v>5</v>
      </c>
      <c r="D79" s="5" t="str">
        <f>IF(COUNTIF(Assign!$E:$E,B79)=1,"Occupied",IF(COUNTIF(Assign!$E:$E,B79)=0,"Not Used","Duplicate definitions"))</f>
        <v>Not Used</v>
      </c>
      <c r="L79" s="4"/>
      <c r="M79" s="4"/>
      <c r="N79" s="4"/>
      <c r="O79" s="4"/>
      <c r="P79" s="8"/>
      <c r="Q79" s="8"/>
      <c r="R79" s="4"/>
      <c r="S79" s="4"/>
    </row>
    <row r="80" spans="2:19" ht="13.5" thickBot="1">
      <c r="B80" s="7">
        <v>79</v>
      </c>
      <c r="C80" s="6" t="s">
        <v>4</v>
      </c>
      <c r="D80" s="5" t="str">
        <f>IF(COUNTIF(Assign!$E:$E,B80)=1,"Occupied",IF(COUNTIF(Assign!$E:$E,B80)=0,"Not Used","Duplicate definitions"))</f>
        <v>Occupied</v>
      </c>
      <c r="L80" s="8"/>
      <c r="M80" s="8"/>
      <c r="N80" s="4"/>
      <c r="O80" s="4"/>
      <c r="P80" s="8"/>
      <c r="Q80" s="8"/>
      <c r="R80" s="4"/>
      <c r="S80" s="4"/>
    </row>
    <row r="81" spans="2:19" ht="13.5" thickBot="1">
      <c r="B81" s="7">
        <v>80</v>
      </c>
      <c r="C81" s="6" t="s">
        <v>177</v>
      </c>
      <c r="D81" s="5"/>
      <c r="L81" s="8"/>
      <c r="M81" s="8"/>
      <c r="N81" s="4"/>
      <c r="O81" s="4"/>
      <c r="P81" s="4"/>
      <c r="Q81" s="4"/>
      <c r="R81" s="4"/>
      <c r="S81" s="4"/>
    </row>
    <row r="82" spans="2:19" ht="13.5" thickBot="1">
      <c r="B82" s="7">
        <v>81</v>
      </c>
      <c r="C82" s="6" t="s">
        <v>105</v>
      </c>
      <c r="D82" s="5" t="str">
        <f>IF(COUNTIF(Assign!$E:$E,B82)=1,"Occupied",IF(COUNTIF(Assign!$E:$E,B82)=0,"Not Used","Duplicate definitions"))</f>
        <v>Not Used</v>
      </c>
      <c r="L82" s="8"/>
      <c r="M82" s="8"/>
      <c r="N82" s="4"/>
      <c r="O82" s="4"/>
      <c r="P82" s="4"/>
      <c r="Q82" s="4"/>
      <c r="R82" s="4"/>
      <c r="S82" s="4"/>
    </row>
    <row r="83" spans="2:19" ht="13.5" thickBot="1">
      <c r="B83" s="7">
        <v>82</v>
      </c>
      <c r="C83" s="6" t="s">
        <v>180</v>
      </c>
      <c r="D83" s="5"/>
      <c r="L83" s="8"/>
      <c r="M83" s="8"/>
      <c r="N83" s="4"/>
      <c r="O83" s="4"/>
      <c r="P83" s="4"/>
      <c r="Q83" s="4"/>
      <c r="R83" s="4"/>
      <c r="S83" s="4"/>
    </row>
    <row r="84" spans="2:19" ht="26.25" thickBot="1">
      <c r="B84" s="7">
        <v>83</v>
      </c>
      <c r="C84" s="6" t="s">
        <v>3</v>
      </c>
      <c r="D84" s="5" t="str">
        <f>IF(COUNTIF(Assign!$E:$E,B84)=1,"Occupied",IF(COUNTIF(Assign!$E:$E,B84)=0,"Not Used","Duplicate definitions"))</f>
        <v>Not Used</v>
      </c>
      <c r="L84" s="4"/>
      <c r="M84" s="4"/>
      <c r="N84" s="4"/>
      <c r="O84" s="4"/>
      <c r="P84" s="4"/>
      <c r="Q84" s="4"/>
      <c r="R84" s="4"/>
      <c r="S84" s="4"/>
    </row>
    <row r="85" spans="2:19" ht="26.25" thickBot="1">
      <c r="B85" s="7">
        <v>84</v>
      </c>
      <c r="C85" s="6" t="s">
        <v>2</v>
      </c>
      <c r="D85" s="5" t="str">
        <f>IF(COUNTIF(Assign!$E:$E,B85)=1,"Occupied",IF(COUNTIF(Assign!$E:$E,B85)=0,"Not Used","Duplicate definitions"))</f>
        <v>Not Used</v>
      </c>
      <c r="L85" s="8"/>
      <c r="M85" s="8"/>
      <c r="N85" s="4"/>
      <c r="O85" s="4"/>
      <c r="P85" s="8"/>
      <c r="Q85" s="8"/>
      <c r="R85" s="4"/>
      <c r="S85" s="4"/>
    </row>
    <row r="86" spans="2:19" ht="13.5" thickBot="1">
      <c r="B86" s="7">
        <v>85</v>
      </c>
      <c r="C86" s="6" t="s">
        <v>162</v>
      </c>
      <c r="D86" s="5" t="str">
        <f>IF(COUNTIF(Assign!$E:$E,B86)=1,"Occupied",IF(COUNTIF(Assign!$E:$E,B86)=0,"Not Used","Duplicate definitions"))</f>
        <v>Not Used</v>
      </c>
      <c r="L86" s="8"/>
      <c r="M86" s="8"/>
      <c r="N86" s="4"/>
      <c r="O86" s="4"/>
      <c r="P86" s="8"/>
      <c r="Q86" s="8"/>
      <c r="R86" s="4"/>
      <c r="S86" s="4"/>
    </row>
    <row r="87" spans="2:19" ht="13.5" thickBot="1">
      <c r="B87" s="7">
        <v>86</v>
      </c>
      <c r="C87" s="6" t="s">
        <v>178</v>
      </c>
      <c r="D87" s="5"/>
      <c r="L87" s="8"/>
      <c r="M87" s="8"/>
      <c r="N87" s="4"/>
      <c r="O87" s="4"/>
      <c r="P87" s="8"/>
      <c r="Q87" s="8"/>
      <c r="R87" s="4"/>
      <c r="S87" s="4"/>
    </row>
    <row r="88" spans="2:19" ht="13.5" thickBot="1">
      <c r="B88" s="7">
        <v>87</v>
      </c>
      <c r="C88" s="6" t="s">
        <v>173</v>
      </c>
      <c r="D88" s="5"/>
      <c r="L88" s="8"/>
      <c r="M88" s="8"/>
      <c r="N88" s="4"/>
      <c r="O88" s="4"/>
      <c r="P88" s="8"/>
      <c r="Q88" s="8"/>
      <c r="R88" s="4"/>
      <c r="S88" s="4"/>
    </row>
    <row r="89" spans="2:19" ht="13.5" thickBot="1">
      <c r="B89" s="7">
        <v>88</v>
      </c>
      <c r="C89" s="6" t="s">
        <v>176</v>
      </c>
      <c r="D89" s="5"/>
      <c r="L89" s="8"/>
      <c r="M89" s="8"/>
      <c r="N89" s="4"/>
      <c r="O89" s="4"/>
      <c r="P89" s="4"/>
      <c r="Q89" s="4"/>
      <c r="R89" s="4"/>
      <c r="S89" s="4"/>
    </row>
    <row r="90" spans="2:19" ht="26.25" thickBot="1">
      <c r="B90" s="7">
        <v>89</v>
      </c>
      <c r="C90" s="6" t="s">
        <v>98</v>
      </c>
      <c r="D90" s="5" t="str">
        <f>IF(COUNTIF(Assign!$E:$E,B90)=1,"Occupied",IF(COUNTIF(Assign!$E:$E,B90)=0,"Not Used","Duplicate definitions"))</f>
        <v>Not Used</v>
      </c>
      <c r="L90" s="8"/>
      <c r="M90" s="8"/>
      <c r="N90" s="4"/>
      <c r="O90" s="4"/>
      <c r="P90" s="4"/>
      <c r="Q90" s="4"/>
      <c r="R90" s="4"/>
      <c r="S90" s="4"/>
    </row>
    <row r="91" spans="2:19" ht="26.25" thickBot="1">
      <c r="B91" s="7">
        <v>90</v>
      </c>
      <c r="C91" s="6" t="s">
        <v>1</v>
      </c>
      <c r="D91" s="5" t="str">
        <f>IF(COUNTIF(Assign!$E:$E,B91)=1,"Occupied",IF(COUNTIF(Assign!$E:$E,B91)=0,"Not Used","Duplicate definitions"))</f>
        <v>Occupied</v>
      </c>
      <c r="L91" s="8"/>
      <c r="M91" s="8"/>
      <c r="N91" s="4"/>
      <c r="O91" s="4"/>
      <c r="P91" s="8"/>
      <c r="Q91" s="8"/>
      <c r="R91" s="4"/>
      <c r="S91" s="4"/>
    </row>
    <row r="92" spans="2:19" ht="13.5" thickBot="1">
      <c r="B92" s="7">
        <v>91</v>
      </c>
      <c r="C92" s="6" t="s">
        <v>160</v>
      </c>
      <c r="D92" s="5" t="str">
        <f>IF(COUNTIF(Assign!$E:$E,B92)=1,"Occupied",IF(COUNTIF(Assign!$E:$E,B92)=0,"Not Used","Duplicate definitions"))</f>
        <v>Occupied</v>
      </c>
      <c r="L92" s="4"/>
      <c r="M92" s="4"/>
      <c r="N92" s="4"/>
      <c r="O92" s="4"/>
      <c r="P92" s="8"/>
      <c r="Q92" s="8"/>
      <c r="R92" s="4"/>
      <c r="S92" s="4"/>
    </row>
    <row r="93" spans="2:19" ht="26.25" thickBot="1">
      <c r="B93" s="7">
        <v>92</v>
      </c>
      <c r="C93" s="6" t="s">
        <v>170</v>
      </c>
      <c r="D93" s="5" t="str">
        <f>IF(COUNTIF(Assign!$E:$E,B93)=1,"Occupied",IF(COUNTIF(Assign!$E:$E,B93)=0,"Not Used","Duplicate definitions"))</f>
        <v>Occupied</v>
      </c>
      <c r="L93" s="4"/>
      <c r="M93" s="4"/>
      <c r="N93" s="4"/>
      <c r="O93" s="4"/>
      <c r="P93" s="8"/>
      <c r="Q93" s="8"/>
      <c r="R93" s="4"/>
      <c r="S93" s="4"/>
    </row>
    <row r="94" spans="2:19" ht="26.25" thickBot="1">
      <c r="B94" s="7">
        <v>93</v>
      </c>
      <c r="C94" s="6" t="s">
        <v>100</v>
      </c>
      <c r="D94" s="5" t="str">
        <f>IF(COUNTIF(Assign!$E:$E,B94)=1,"Occupied",IF(COUNTIF(Assign!$E:$E,B94)=0,"Not Used","Duplicate definitions"))</f>
        <v>Occupied</v>
      </c>
      <c r="L94" s="8"/>
      <c r="M94" s="8"/>
      <c r="N94" s="4"/>
      <c r="O94" s="4"/>
      <c r="P94" s="8"/>
      <c r="Q94" s="8"/>
      <c r="R94" s="4"/>
      <c r="S94" s="4"/>
    </row>
    <row r="95" spans="2:19" ht="13.5" thickBot="1">
      <c r="B95" s="7">
        <v>94</v>
      </c>
      <c r="C95" s="6" t="s">
        <v>158</v>
      </c>
      <c r="D95" s="5" t="str">
        <f>IF(COUNTIF(Assign!$E:$E,B95)=1,"Occupied",IF(COUNTIF(Assign!$E:$E,B95)=0,"Not Used","Duplicate definitions"))</f>
        <v>Occupied</v>
      </c>
      <c r="L95" s="8"/>
      <c r="M95" s="8"/>
      <c r="N95" s="4"/>
      <c r="O95" s="4"/>
      <c r="P95" s="4"/>
      <c r="Q95" s="4"/>
      <c r="R95" s="4"/>
      <c r="S95" s="4"/>
    </row>
    <row r="96" spans="2:19" ht="26.25" thickBot="1">
      <c r="B96" s="7">
        <v>95</v>
      </c>
      <c r="C96" s="6" t="s">
        <v>146</v>
      </c>
      <c r="D96" s="5" t="str">
        <f>IF(COUNTIF(Assign!$E:$E,B96)=1,"Occupied",IF(COUNTIF(Assign!$E:$E,B96)=0,"Not Used","Duplicate definitions"))</f>
        <v>Occupied</v>
      </c>
      <c r="L96" s="8"/>
      <c r="M96" s="8"/>
      <c r="N96" s="4"/>
      <c r="O96" s="4"/>
      <c r="P96" s="4"/>
      <c r="Q96" s="4"/>
      <c r="R96" s="4"/>
      <c r="S96" s="4"/>
    </row>
    <row r="97" spans="2:19" ht="26.25" thickBot="1">
      <c r="B97" s="7">
        <v>96</v>
      </c>
      <c r="C97" s="6" t="s">
        <v>144</v>
      </c>
      <c r="D97" s="5" t="str">
        <f>IF(COUNTIF(Assign!$E:$E,B97)=1,"Occupied",IF(COUNTIF(Assign!$E:$E,B97)=0,"Not Used","Duplicate definitions"))</f>
        <v>Occupied</v>
      </c>
      <c r="L97" s="8"/>
      <c r="M97" s="8"/>
      <c r="N97" s="4"/>
      <c r="O97" s="4"/>
      <c r="P97" s="4"/>
      <c r="Q97" s="4"/>
      <c r="R97" s="4"/>
      <c r="S97" s="4"/>
    </row>
    <row r="98" spans="2:19" ht="26.25" thickBot="1">
      <c r="B98" s="7">
        <v>97</v>
      </c>
      <c r="C98" s="6" t="s">
        <v>0</v>
      </c>
      <c r="D98" s="5" t="str">
        <f>IF(COUNTIF(Assign!$E:$E,B98)=1,"Occupied",IF(COUNTIF(Assign!$E:$E,B98)=0,"Not Used","Duplicate definitions"))</f>
        <v>Occupied</v>
      </c>
      <c r="L98" s="4"/>
      <c r="M98" s="4"/>
      <c r="N98" s="4"/>
      <c r="O98" s="4"/>
      <c r="P98" s="4"/>
      <c r="Q98" s="4"/>
      <c r="R98" s="4"/>
      <c r="S98" s="4"/>
    </row>
    <row r="99" spans="2:19" ht="26.25" thickBot="1">
      <c r="B99" s="7">
        <v>98</v>
      </c>
      <c r="C99" s="6" t="s">
        <v>154</v>
      </c>
      <c r="D99" s="5" t="str">
        <f>IF(COUNTIF(Assign!$E:$E,B99)=1,"Occupied",IF(COUNTIF(Assign!$E:$E,B99)=0,"Not Used","Duplicate definitions"))</f>
        <v>Not Used</v>
      </c>
      <c r="L99" s="8"/>
      <c r="M99" s="8"/>
      <c r="N99" s="4"/>
      <c r="O99" s="4"/>
      <c r="P99" s="4"/>
      <c r="Q99" s="4"/>
      <c r="R99" s="4"/>
      <c r="S99" s="4"/>
    </row>
    <row r="100" spans="2:19" ht="26.25" thickBot="1">
      <c r="B100" s="7">
        <v>99</v>
      </c>
      <c r="C100" s="6" t="s">
        <v>156</v>
      </c>
      <c r="D100" s="5" t="str">
        <f>IF(COUNTIF(Assign!$E:$E,B100)=1,"Occupied",IF(COUNTIF(Assign!$E:$E,B100)=0,"Not Used","Duplicate definitions"))</f>
        <v>Occupied</v>
      </c>
      <c r="L100" s="8"/>
      <c r="M100" s="8"/>
      <c r="N100" s="4"/>
      <c r="O100" s="4"/>
      <c r="P100" s="4"/>
      <c r="Q100" s="4"/>
      <c r="R100" s="4"/>
      <c r="S100" s="4"/>
    </row>
    <row r="101" spans="2:19" ht="26.25" thickBot="1">
      <c r="B101" s="7">
        <v>100</v>
      </c>
      <c r="C101" s="10" t="s">
        <v>22</v>
      </c>
      <c r="D101" s="5" t="str">
        <f>IF(COUNTIF(Assign!$E:$E,B101)=1,"Occupied",IF(COUNTIF(Assign!$E:$E,B101)=0,"Not Used","Duplicate definitions"))</f>
        <v>Occupied</v>
      </c>
      <c r="L101" s="4"/>
      <c r="M101" s="4"/>
      <c r="N101" s="4"/>
      <c r="O101" s="4"/>
      <c r="P101" s="4"/>
      <c r="Q101" s="4"/>
      <c r="R101" s="4"/>
      <c r="S101" s="4"/>
    </row>
    <row r="102" spans="2:19">
      <c r="C102" s="1"/>
      <c r="D102" s="1"/>
      <c r="H102" s="1"/>
      <c r="I102" s="1"/>
      <c r="J102" s="1"/>
      <c r="L102" s="4"/>
      <c r="M102" s="4"/>
      <c r="N102" s="4"/>
      <c r="O102" s="4"/>
      <c r="P102" s="4"/>
      <c r="Q102" s="4"/>
      <c r="R102" s="4"/>
      <c r="S102" s="4"/>
    </row>
    <row r="103" spans="2:19">
      <c r="C103" s="1"/>
      <c r="D103" s="1"/>
      <c r="H103" s="1"/>
      <c r="I103" s="1"/>
      <c r="J103" s="1"/>
      <c r="L103" s="4"/>
      <c r="M103" s="4"/>
      <c r="N103" s="4"/>
      <c r="O103" s="4"/>
      <c r="P103" s="4"/>
      <c r="Q103" s="4"/>
      <c r="R103" s="4"/>
      <c r="S103" s="4"/>
    </row>
    <row r="104" spans="2:19">
      <c r="C104" s="1"/>
      <c r="D104" s="1"/>
      <c r="H104" s="1"/>
      <c r="I104" s="1"/>
      <c r="J104" s="1"/>
      <c r="L104" s="4"/>
      <c r="M104" s="4"/>
      <c r="N104" s="4"/>
      <c r="O104" s="4"/>
      <c r="P104" s="4"/>
      <c r="Q104" s="4"/>
      <c r="R104" s="4"/>
      <c r="S104" s="4"/>
    </row>
    <row r="105" spans="2:19">
      <c r="C105" s="1"/>
      <c r="D105" s="1"/>
      <c r="H105" s="1"/>
      <c r="I105" s="1"/>
      <c r="J105" s="1"/>
      <c r="L105" s="4"/>
      <c r="M105" s="4"/>
      <c r="N105" s="4"/>
      <c r="O105" s="4"/>
      <c r="P105" s="4"/>
      <c r="Q105" s="4"/>
      <c r="R105" s="4"/>
      <c r="S105" s="4"/>
    </row>
    <row r="106" spans="2:19">
      <c r="C106" s="1"/>
      <c r="D106" s="1"/>
      <c r="H106" s="1"/>
      <c r="I106" s="1"/>
      <c r="J106" s="1"/>
      <c r="L106" s="4"/>
      <c r="M106" s="4"/>
      <c r="N106" s="4"/>
      <c r="O106" s="4"/>
      <c r="P106" s="4"/>
      <c r="Q106" s="4"/>
      <c r="R106" s="4"/>
      <c r="S106" s="4"/>
    </row>
    <row r="107" spans="2:19">
      <c r="C107" s="1"/>
      <c r="D107" s="1"/>
      <c r="H107" s="1"/>
      <c r="I107" s="1"/>
      <c r="J107" s="1"/>
      <c r="L107" s="4"/>
      <c r="M107" s="4"/>
      <c r="N107" s="4"/>
      <c r="O107" s="4"/>
      <c r="P107" s="4"/>
      <c r="Q107" s="4"/>
      <c r="R107" s="4"/>
      <c r="S107" s="4"/>
    </row>
    <row r="108" spans="2:19">
      <c r="C108" s="1"/>
      <c r="D108" s="1"/>
      <c r="H108" s="1"/>
      <c r="I108" s="1"/>
      <c r="J108" s="1"/>
      <c r="L108" s="4"/>
      <c r="M108" s="4"/>
      <c r="N108" s="4"/>
      <c r="O108" s="4"/>
      <c r="P108" s="4"/>
      <c r="Q108" s="4"/>
      <c r="R108" s="4"/>
      <c r="S108" s="4"/>
    </row>
    <row r="109" spans="2:19">
      <c r="C109" s="1"/>
      <c r="D109" s="1"/>
      <c r="H109" s="1"/>
      <c r="I109" s="1"/>
      <c r="J109" s="1"/>
      <c r="L109" s="4"/>
      <c r="M109" s="4"/>
      <c r="N109" s="4"/>
      <c r="O109" s="4"/>
      <c r="P109" s="4"/>
      <c r="Q109" s="4"/>
      <c r="R109" s="4"/>
      <c r="S109" s="4"/>
    </row>
    <row r="110" spans="2:19">
      <c r="C110" s="1"/>
      <c r="D110" s="1"/>
      <c r="H110" s="1"/>
      <c r="I110" s="1"/>
      <c r="J110" s="1"/>
      <c r="L110" s="4"/>
      <c r="M110" s="4"/>
      <c r="N110" s="4"/>
      <c r="O110" s="4"/>
      <c r="P110" s="4"/>
      <c r="Q110" s="4"/>
      <c r="R110" s="4"/>
      <c r="S110" s="4"/>
    </row>
    <row r="111" spans="2:19">
      <c r="C111" s="1"/>
      <c r="D111" s="1"/>
      <c r="H111" s="1"/>
      <c r="I111" s="1"/>
      <c r="J111" s="1"/>
      <c r="L111" s="4"/>
      <c r="M111" s="4"/>
      <c r="N111" s="4"/>
      <c r="O111" s="4"/>
      <c r="P111" s="4"/>
      <c r="Q111" s="4"/>
      <c r="R111" s="4"/>
      <c r="S111" s="4"/>
    </row>
    <row r="112" spans="2:19">
      <c r="C112" s="1"/>
      <c r="D112" s="1"/>
      <c r="H112" s="1"/>
      <c r="I112" s="1"/>
      <c r="J112" s="1"/>
      <c r="L112" s="4"/>
      <c r="M112" s="4"/>
      <c r="N112" s="4"/>
      <c r="O112" s="4"/>
      <c r="P112" s="4"/>
      <c r="Q112" s="4"/>
      <c r="R112" s="4"/>
      <c r="S112" s="4"/>
    </row>
    <row r="113" spans="3:19">
      <c r="C113" s="1"/>
      <c r="D113" s="1"/>
      <c r="H113" s="1"/>
      <c r="I113" s="1"/>
      <c r="J113" s="1"/>
      <c r="L113" s="4"/>
      <c r="M113" s="4"/>
      <c r="N113" s="4"/>
      <c r="O113" s="4"/>
      <c r="P113" s="4"/>
      <c r="Q113" s="4"/>
      <c r="R113" s="4"/>
      <c r="S113" s="4"/>
    </row>
    <row r="114" spans="3:19">
      <c r="C114" s="1"/>
      <c r="D114" s="1"/>
      <c r="H114" s="1"/>
      <c r="I114" s="1"/>
      <c r="J114" s="1"/>
      <c r="L114" s="4"/>
      <c r="M114" s="4"/>
      <c r="N114" s="4"/>
      <c r="O114" s="4"/>
      <c r="P114" s="4"/>
      <c r="Q114" s="4"/>
      <c r="R114" s="4"/>
      <c r="S114" s="4"/>
    </row>
    <row r="115" spans="3:19">
      <c r="C115" s="1"/>
      <c r="D115" s="1"/>
      <c r="H115" s="1"/>
      <c r="I115" s="1"/>
      <c r="J115" s="1"/>
      <c r="L115" s="4"/>
      <c r="M115" s="4"/>
      <c r="N115" s="4"/>
      <c r="O115" s="4"/>
      <c r="P115" s="4"/>
      <c r="Q115" s="4"/>
      <c r="R115" s="4"/>
      <c r="S115" s="4"/>
    </row>
    <row r="116" spans="3:19">
      <c r="C116" s="1"/>
      <c r="D116" s="1"/>
      <c r="H116" s="1"/>
      <c r="I116" s="1"/>
      <c r="J116" s="1"/>
      <c r="L116" s="4"/>
      <c r="M116" s="4"/>
      <c r="N116" s="4"/>
      <c r="O116" s="4"/>
      <c r="P116" s="4"/>
      <c r="Q116" s="4"/>
      <c r="R116" s="4"/>
      <c r="S116" s="4"/>
    </row>
    <row r="117" spans="3:19">
      <c r="C117" s="1"/>
      <c r="D117" s="1"/>
      <c r="H117" s="1"/>
      <c r="I117" s="1"/>
      <c r="J117" s="1"/>
      <c r="L117" s="4"/>
      <c r="M117" s="4"/>
      <c r="N117" s="4"/>
      <c r="O117" s="4"/>
      <c r="P117" s="4"/>
      <c r="Q117" s="4"/>
      <c r="R117" s="4"/>
      <c r="S117" s="4"/>
    </row>
    <row r="118" spans="3:19">
      <c r="C118" s="1"/>
      <c r="D118" s="1"/>
      <c r="H118" s="1"/>
      <c r="I118" s="1"/>
      <c r="J118" s="1"/>
      <c r="L118" s="4"/>
      <c r="M118" s="4"/>
      <c r="N118" s="4"/>
      <c r="O118" s="4"/>
      <c r="P118" s="4"/>
      <c r="Q118" s="4"/>
      <c r="R118" s="4"/>
      <c r="S118" s="4"/>
    </row>
    <row r="119" spans="3:19">
      <c r="C119" s="1"/>
      <c r="D119" s="1"/>
      <c r="H119" s="1"/>
      <c r="I119" s="1"/>
      <c r="J119" s="1"/>
      <c r="L119" s="4"/>
      <c r="M119" s="4"/>
      <c r="N119" s="4"/>
      <c r="O119" s="4"/>
      <c r="P119" s="4"/>
      <c r="Q119" s="4"/>
      <c r="R119" s="4"/>
      <c r="S119" s="4"/>
    </row>
    <row r="120" spans="3:19">
      <c r="C120" s="1"/>
      <c r="D120" s="1"/>
      <c r="H120" s="1"/>
      <c r="I120" s="1"/>
      <c r="J120" s="1"/>
      <c r="L120" s="4"/>
      <c r="M120" s="4"/>
      <c r="N120" s="4"/>
      <c r="O120" s="4"/>
      <c r="P120" s="4"/>
      <c r="Q120" s="4"/>
      <c r="R120" s="4"/>
      <c r="S120" s="4"/>
    </row>
    <row r="121" spans="3:19">
      <c r="C121" s="1"/>
      <c r="D121" s="1"/>
      <c r="H121" s="1"/>
      <c r="I121" s="1"/>
      <c r="J121" s="1"/>
      <c r="L121" s="4"/>
      <c r="M121" s="4"/>
      <c r="N121" s="4"/>
      <c r="O121" s="4"/>
      <c r="P121" s="4"/>
      <c r="Q121" s="4"/>
      <c r="R121" s="4"/>
      <c r="S121" s="4"/>
    </row>
    <row r="122" spans="3:19">
      <c r="C122" s="1"/>
      <c r="D122" s="1"/>
      <c r="H122" s="1"/>
      <c r="I122" s="1"/>
      <c r="J122" s="1"/>
      <c r="L122" s="4"/>
      <c r="M122" s="4"/>
      <c r="N122" s="4"/>
      <c r="O122" s="4"/>
      <c r="P122" s="4"/>
      <c r="Q122" s="4"/>
      <c r="R122" s="4"/>
      <c r="S122" s="4"/>
    </row>
    <row r="123" spans="3:19">
      <c r="C123" s="1"/>
      <c r="D123" s="1"/>
      <c r="H123" s="1"/>
      <c r="I123" s="1"/>
      <c r="J123" s="1"/>
      <c r="L123" s="4"/>
      <c r="M123" s="4"/>
      <c r="N123" s="4"/>
      <c r="O123" s="4"/>
      <c r="P123" s="4"/>
      <c r="Q123" s="4"/>
      <c r="R123" s="4"/>
      <c r="S123" s="4"/>
    </row>
    <row r="124" spans="3:19">
      <c r="C124" s="1"/>
      <c r="D124" s="1"/>
      <c r="H124" s="1"/>
      <c r="I124" s="1"/>
      <c r="J124" s="1"/>
      <c r="L124" s="4"/>
      <c r="M124" s="4"/>
      <c r="N124" s="4"/>
      <c r="O124" s="4"/>
      <c r="P124" s="4"/>
      <c r="Q124" s="4"/>
      <c r="R124" s="4"/>
      <c r="S124" s="4"/>
    </row>
    <row r="125" spans="3:19">
      <c r="C125" s="1"/>
      <c r="D125" s="1"/>
      <c r="H125" s="1"/>
      <c r="I125" s="1"/>
      <c r="J125" s="1"/>
      <c r="L125" s="4"/>
      <c r="M125" s="4"/>
      <c r="N125" s="4"/>
      <c r="O125" s="4"/>
      <c r="P125" s="4"/>
      <c r="Q125" s="4"/>
      <c r="R125" s="4"/>
      <c r="S125" s="4"/>
    </row>
    <row r="126" spans="3:19">
      <c r="C126" s="1"/>
      <c r="D126" s="1"/>
      <c r="H126" s="1"/>
      <c r="I126" s="1"/>
      <c r="J126" s="1"/>
      <c r="L126" s="4"/>
      <c r="M126" s="4"/>
      <c r="N126" s="4"/>
      <c r="O126" s="4"/>
      <c r="P126" s="4"/>
      <c r="Q126" s="4"/>
      <c r="R126" s="4"/>
      <c r="S126" s="4"/>
    </row>
    <row r="127" spans="3:19">
      <c r="C127" s="1"/>
      <c r="D127" s="1"/>
      <c r="H127" s="1"/>
      <c r="I127" s="1"/>
      <c r="J127" s="1"/>
      <c r="L127" s="4"/>
      <c r="M127" s="4"/>
      <c r="N127" s="4"/>
      <c r="O127" s="4"/>
      <c r="P127" s="4"/>
      <c r="Q127" s="4"/>
      <c r="R127" s="4"/>
      <c r="S127" s="4"/>
    </row>
    <row r="128" spans="3:19">
      <c r="C128" s="1"/>
      <c r="D128" s="1"/>
      <c r="H128" s="1"/>
      <c r="I128" s="1"/>
      <c r="J128" s="1"/>
      <c r="L128" s="4"/>
      <c r="M128" s="4"/>
      <c r="N128" s="4"/>
      <c r="O128" s="4"/>
      <c r="P128" s="4"/>
      <c r="Q128" s="4"/>
      <c r="R128" s="4"/>
      <c r="S128" s="4"/>
    </row>
    <row r="129" spans="3:19">
      <c r="C129" s="1"/>
      <c r="D129" s="1"/>
      <c r="H129" s="1"/>
      <c r="I129" s="1"/>
      <c r="J129" s="1"/>
      <c r="L129" s="4"/>
      <c r="M129" s="4"/>
      <c r="N129" s="4"/>
      <c r="O129" s="4"/>
      <c r="P129" s="4"/>
      <c r="Q129" s="4"/>
      <c r="R129" s="4"/>
      <c r="S129" s="4"/>
    </row>
    <row r="130" spans="3:19">
      <c r="C130" s="1"/>
      <c r="D130" s="1"/>
      <c r="H130" s="1"/>
      <c r="I130" s="1"/>
      <c r="J130" s="1"/>
      <c r="L130" s="4"/>
      <c r="M130" s="4"/>
      <c r="N130" s="4"/>
      <c r="O130" s="4"/>
      <c r="P130" s="4"/>
      <c r="Q130" s="4"/>
      <c r="R130" s="4"/>
      <c r="S130" s="4"/>
    </row>
    <row r="131" spans="3:19">
      <c r="C131" s="1"/>
      <c r="D131" s="1"/>
      <c r="H131" s="1"/>
      <c r="I131" s="1"/>
      <c r="J131" s="1"/>
      <c r="L131" s="4"/>
      <c r="M131" s="4"/>
      <c r="N131" s="4"/>
      <c r="O131" s="4"/>
      <c r="P131" s="4"/>
      <c r="Q131" s="4"/>
      <c r="R131" s="4"/>
      <c r="S131" s="4"/>
    </row>
    <row r="132" spans="3:19">
      <c r="C132" s="1"/>
      <c r="D132" s="1"/>
      <c r="H132" s="1"/>
      <c r="I132" s="1"/>
      <c r="J132" s="1"/>
      <c r="L132" s="4"/>
      <c r="M132" s="4"/>
      <c r="N132" s="4"/>
      <c r="O132" s="4"/>
      <c r="P132" s="4"/>
      <c r="Q132" s="4"/>
      <c r="R132" s="4"/>
      <c r="S132" s="4"/>
    </row>
    <row r="133" spans="3:19">
      <c r="C133" s="1"/>
      <c r="D133" s="1"/>
      <c r="H133" s="1"/>
      <c r="I133" s="1"/>
      <c r="J133" s="1"/>
      <c r="L133" s="4"/>
      <c r="M133" s="4"/>
      <c r="N133" s="4"/>
      <c r="O133" s="4"/>
      <c r="P133" s="4"/>
      <c r="Q133" s="4"/>
      <c r="R133" s="4"/>
      <c r="S133" s="4"/>
    </row>
    <row r="134" spans="3:19">
      <c r="C134" s="1"/>
      <c r="D134" s="1"/>
      <c r="H134" s="1"/>
      <c r="I134" s="1"/>
      <c r="J134" s="1"/>
      <c r="L134" s="4"/>
      <c r="M134" s="4"/>
      <c r="N134" s="4"/>
      <c r="O134" s="4"/>
      <c r="P134" s="4"/>
      <c r="Q134" s="4"/>
      <c r="R134" s="4"/>
      <c r="S134" s="4"/>
    </row>
    <row r="135" spans="3:19">
      <c r="C135" s="1"/>
      <c r="D135" s="1"/>
      <c r="H135" s="1"/>
      <c r="I135" s="1"/>
      <c r="J135" s="1"/>
      <c r="L135" s="4"/>
      <c r="M135" s="4"/>
      <c r="N135" s="4"/>
      <c r="O135" s="4"/>
      <c r="P135" s="4"/>
      <c r="Q135" s="4"/>
      <c r="R135" s="4"/>
      <c r="S135" s="4"/>
    </row>
    <row r="136" spans="3:19">
      <c r="C136" s="1"/>
      <c r="D136" s="1"/>
      <c r="H136" s="1"/>
      <c r="I136" s="1"/>
      <c r="J136" s="1"/>
      <c r="L136" s="4"/>
      <c r="M136" s="4"/>
      <c r="N136" s="4"/>
      <c r="O136" s="4"/>
      <c r="P136" s="4"/>
      <c r="Q136" s="4"/>
      <c r="R136" s="4"/>
      <c r="S136" s="4"/>
    </row>
  </sheetData>
  <phoneticPr fontId="2" type="noConversion"/>
  <conditionalFormatting sqref="D2:D101">
    <cfRule type="cellIs" dxfId="7" priority="4" operator="equal">
      <formula>"Occupied"</formula>
    </cfRule>
    <cfRule type="cellIs" dxfId="6" priority="5" operator="equal">
      <formula>"Duplicate definitions"</formula>
    </cfRule>
    <cfRule type="cellIs" dxfId="5" priority="6" operator="equal">
      <formula>"Not Used"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B1:G356"/>
  <sheetViews>
    <sheetView topLeftCell="A83" workbookViewId="0">
      <selection activeCell="D82" sqref="D82"/>
    </sheetView>
  </sheetViews>
  <sheetFormatPr defaultRowHeight="17.25" thickBottom="1" outlineLevelRow="1"/>
  <cols>
    <col min="2" max="2" width="9" style="5"/>
    <col min="3" max="3" width="48.375" style="9" customWidth="1"/>
    <col min="4" max="4" width="9" style="22"/>
    <col min="5" max="5" width="9" style="21"/>
    <col min="6" max="6" width="9" style="31"/>
    <col min="8" max="8" width="9.5" bestFit="1" customWidth="1"/>
  </cols>
  <sheetData>
    <row r="1" spans="2:7" thickBot="1">
      <c r="B1" s="5" t="s">
        <v>24</v>
      </c>
      <c r="C1" s="9" t="s">
        <v>25</v>
      </c>
      <c r="D1" s="5" t="s">
        <v>81</v>
      </c>
      <c r="E1" s="23" t="s">
        <v>80</v>
      </c>
      <c r="F1" s="30" t="s">
        <v>79</v>
      </c>
      <c r="G1" s="1"/>
    </row>
    <row r="2" spans="2:7" s="25" customFormat="1" collapsed="1" thickBot="1">
      <c r="B2" s="36" t="s">
        <v>78</v>
      </c>
      <c r="C2" s="37"/>
      <c r="D2" s="28">
        <f>COUNTIF(D3:D4,"v")</f>
        <v>2</v>
      </c>
      <c r="E2" s="27" t="str">
        <f t="shared" ref="E2:E82" si="0">IF(D2="v",B2,"")</f>
        <v/>
      </c>
      <c r="F2" s="30">
        <f>IF(B2=E2,F1+1,IF(ISNUMBER(B2),F1,))</f>
        <v>0</v>
      </c>
      <c r="G2" s="1"/>
    </row>
    <row r="3" spans="2:7" ht="26.25" hidden="1" outlineLevel="1" thickBot="1">
      <c r="B3" s="7">
        <v>63</v>
      </c>
      <c r="C3" s="6" t="s">
        <v>42</v>
      </c>
      <c r="D3" s="5" t="s">
        <v>61</v>
      </c>
      <c r="E3" s="24">
        <f t="shared" si="0"/>
        <v>63</v>
      </c>
      <c r="F3" s="30">
        <f t="shared" ref="F3:F66" si="1">IF(B3=E3,F2+1,IF(ISNUMBER(B3),F2,))</f>
        <v>1</v>
      </c>
      <c r="G3" s="1"/>
    </row>
    <row r="4" spans="2:7" ht="26.25" hidden="1" outlineLevel="1" thickBot="1">
      <c r="B4" s="7">
        <v>61</v>
      </c>
      <c r="C4" s="6" t="s">
        <v>43</v>
      </c>
      <c r="D4" s="5" t="s">
        <v>61</v>
      </c>
      <c r="E4" s="24">
        <f t="shared" si="0"/>
        <v>61</v>
      </c>
      <c r="F4" s="30">
        <f t="shared" si="1"/>
        <v>2</v>
      </c>
      <c r="G4" s="1"/>
    </row>
    <row r="5" spans="2:7" s="25" customFormat="1" collapsed="1" thickBot="1">
      <c r="B5" s="36" t="s">
        <v>77</v>
      </c>
      <c r="C5" s="36"/>
      <c r="D5" s="28">
        <f>COUNTIF(D6:D6,"v")</f>
        <v>1</v>
      </c>
      <c r="E5" s="27" t="str">
        <f t="shared" si="0"/>
        <v/>
      </c>
      <c r="F5" s="30">
        <f t="shared" si="1"/>
        <v>0</v>
      </c>
      <c r="G5" s="26"/>
    </row>
    <row r="6" spans="2:7" ht="26.25" hidden="1" outlineLevel="1" thickBot="1">
      <c r="B6" s="7">
        <v>68</v>
      </c>
      <c r="C6" s="6" t="s">
        <v>40</v>
      </c>
      <c r="D6" s="23" t="s">
        <v>61</v>
      </c>
      <c r="E6" s="24">
        <f t="shared" si="0"/>
        <v>68</v>
      </c>
      <c r="F6" s="30">
        <f t="shared" si="1"/>
        <v>1</v>
      </c>
      <c r="G6" s="1"/>
    </row>
    <row r="7" spans="2:7" s="25" customFormat="1" collapsed="1" thickBot="1">
      <c r="B7" s="36" t="s">
        <v>76</v>
      </c>
      <c r="C7" s="37"/>
      <c r="D7" s="28">
        <f>COUNTIF(D8:D9,"v")</f>
        <v>2</v>
      </c>
      <c r="E7" s="27" t="str">
        <f t="shared" si="0"/>
        <v/>
      </c>
      <c r="F7" s="30">
        <f t="shared" si="1"/>
        <v>0</v>
      </c>
      <c r="G7" s="26"/>
    </row>
    <row r="8" spans="2:7" ht="26.25" hidden="1" outlineLevel="1" thickBot="1">
      <c r="B8" s="7">
        <v>56</v>
      </c>
      <c r="C8" s="6" t="s">
        <v>44</v>
      </c>
      <c r="D8" s="5" t="s">
        <v>61</v>
      </c>
      <c r="E8" s="24">
        <f t="shared" si="0"/>
        <v>56</v>
      </c>
      <c r="F8" s="30">
        <f t="shared" si="1"/>
        <v>1</v>
      </c>
      <c r="G8" s="1"/>
    </row>
    <row r="9" spans="2:7" ht="26.25" hidden="1" outlineLevel="1" thickBot="1">
      <c r="B9" s="7">
        <v>64</v>
      </c>
      <c r="C9" s="6" t="s">
        <v>41</v>
      </c>
      <c r="D9" s="5" t="s">
        <v>61</v>
      </c>
      <c r="E9" s="24">
        <f t="shared" si="0"/>
        <v>64</v>
      </c>
      <c r="F9" s="30">
        <f t="shared" si="1"/>
        <v>2</v>
      </c>
      <c r="G9" s="1"/>
    </row>
    <row r="10" spans="2:7" s="25" customFormat="1" collapsed="1" thickBot="1">
      <c r="B10" s="36" t="s">
        <v>75</v>
      </c>
      <c r="C10" s="37"/>
      <c r="D10" s="28">
        <f>COUNTIF(D11:D31,"v")</f>
        <v>9</v>
      </c>
      <c r="E10" s="27" t="str">
        <f t="shared" si="0"/>
        <v/>
      </c>
      <c r="F10" s="30">
        <f t="shared" si="1"/>
        <v>0</v>
      </c>
      <c r="G10" s="26"/>
    </row>
    <row r="11" spans="2:7" hidden="1" outlineLevel="1" thickBot="1">
      <c r="B11" s="7">
        <v>6</v>
      </c>
      <c r="C11" s="6" t="s">
        <v>90</v>
      </c>
      <c r="D11" s="5"/>
      <c r="E11" s="29" t="str">
        <f t="shared" ref="E11:E31" si="2">IF(D11="v",B11,"")</f>
        <v/>
      </c>
      <c r="F11" s="30">
        <f t="shared" si="1"/>
        <v>0</v>
      </c>
      <c r="G11" s="1"/>
    </row>
    <row r="12" spans="2:7" hidden="1" outlineLevel="1" thickBot="1">
      <c r="B12" s="7">
        <v>7</v>
      </c>
      <c r="C12" s="6" t="s">
        <v>91</v>
      </c>
      <c r="D12" s="5"/>
      <c r="E12" s="29" t="str">
        <f t="shared" si="2"/>
        <v/>
      </c>
      <c r="F12" s="30">
        <f t="shared" si="1"/>
        <v>0</v>
      </c>
      <c r="G12" s="1"/>
    </row>
    <row r="13" spans="2:7" hidden="1" outlineLevel="1" thickBot="1">
      <c r="B13" s="7">
        <v>8</v>
      </c>
      <c r="C13" s="6" t="s">
        <v>92</v>
      </c>
      <c r="D13" s="5"/>
      <c r="E13" s="29" t="str">
        <f t="shared" si="2"/>
        <v/>
      </c>
      <c r="F13" s="30">
        <f t="shared" si="1"/>
        <v>0</v>
      </c>
      <c r="G13" s="1"/>
    </row>
    <row r="14" spans="2:7" hidden="1" outlineLevel="1" thickBot="1">
      <c r="B14" s="7">
        <v>9</v>
      </c>
      <c r="C14" s="6" t="s">
        <v>20</v>
      </c>
      <c r="D14" s="5"/>
      <c r="E14" s="29" t="str">
        <f t="shared" si="2"/>
        <v/>
      </c>
      <c r="F14" s="30">
        <f t="shared" si="1"/>
        <v>0</v>
      </c>
      <c r="G14" s="1"/>
    </row>
    <row r="15" spans="2:7" hidden="1" outlineLevel="1" thickBot="1">
      <c r="B15" s="7">
        <v>10</v>
      </c>
      <c r="C15" s="6" t="s">
        <v>190</v>
      </c>
      <c r="D15" s="5"/>
      <c r="E15" s="29" t="str">
        <f t="shared" si="2"/>
        <v/>
      </c>
      <c r="F15" s="30">
        <f t="shared" si="1"/>
        <v>0</v>
      </c>
      <c r="G15" s="1"/>
    </row>
    <row r="16" spans="2:7" hidden="1" outlineLevel="1" thickBot="1">
      <c r="B16" s="7">
        <v>17</v>
      </c>
      <c r="C16" s="6" t="s">
        <v>118</v>
      </c>
      <c r="D16" s="5" t="s">
        <v>193</v>
      </c>
      <c r="E16" s="29">
        <f t="shared" si="2"/>
        <v>17</v>
      </c>
      <c r="F16" s="30">
        <f t="shared" si="1"/>
        <v>1</v>
      </c>
      <c r="G16" s="1"/>
    </row>
    <row r="17" spans="2:7" hidden="1" outlineLevel="1" thickBot="1">
      <c r="B17" s="7">
        <v>19</v>
      </c>
      <c r="C17" s="6" t="s">
        <v>112</v>
      </c>
      <c r="D17" s="5" t="s">
        <v>216</v>
      </c>
      <c r="E17" s="29">
        <f t="shared" si="2"/>
        <v>19</v>
      </c>
      <c r="F17" s="30">
        <f t="shared" si="1"/>
        <v>2</v>
      </c>
      <c r="G17" s="1"/>
    </row>
    <row r="18" spans="2:7" hidden="1" outlineLevel="1" thickBot="1">
      <c r="B18" s="7">
        <v>21</v>
      </c>
      <c r="C18" s="6" t="s">
        <v>116</v>
      </c>
      <c r="D18" s="5" t="s">
        <v>216</v>
      </c>
      <c r="E18" s="29">
        <f t="shared" si="2"/>
        <v>21</v>
      </c>
      <c r="F18" s="30">
        <f t="shared" si="1"/>
        <v>3</v>
      </c>
      <c r="G18" s="1"/>
    </row>
    <row r="19" spans="2:7" hidden="1" outlineLevel="1" thickBot="1">
      <c r="B19" s="7">
        <v>22</v>
      </c>
      <c r="C19" s="9" t="s">
        <v>19</v>
      </c>
      <c r="D19" s="5"/>
      <c r="E19" s="29" t="str">
        <f t="shared" si="2"/>
        <v/>
      </c>
      <c r="F19" s="30">
        <f t="shared" si="1"/>
        <v>3</v>
      </c>
      <c r="G19" s="1"/>
    </row>
    <row r="20" spans="2:7" hidden="1" outlineLevel="1" thickBot="1">
      <c r="B20" s="7">
        <v>23</v>
      </c>
      <c r="C20" s="9" t="s">
        <v>18</v>
      </c>
      <c r="D20" s="5"/>
      <c r="E20" s="29" t="str">
        <f t="shared" si="2"/>
        <v/>
      </c>
      <c r="F20" s="30">
        <f t="shared" si="1"/>
        <v>3</v>
      </c>
      <c r="G20" s="1"/>
    </row>
    <row r="21" spans="2:7" ht="26.25" hidden="1" outlineLevel="1" thickBot="1">
      <c r="B21" s="7">
        <v>28</v>
      </c>
      <c r="C21" s="6" t="s">
        <v>138</v>
      </c>
      <c r="D21" s="5"/>
      <c r="E21" s="29" t="str">
        <f t="shared" si="2"/>
        <v/>
      </c>
      <c r="F21" s="30">
        <f t="shared" si="1"/>
        <v>3</v>
      </c>
      <c r="G21" s="1"/>
    </row>
    <row r="22" spans="2:7" hidden="1" outlineLevel="1" thickBot="1">
      <c r="B22" s="7">
        <v>29</v>
      </c>
      <c r="C22" s="6" t="s">
        <v>114</v>
      </c>
      <c r="D22" s="5" t="s">
        <v>216</v>
      </c>
      <c r="E22" s="29">
        <f t="shared" si="2"/>
        <v>29</v>
      </c>
      <c r="F22" s="30">
        <f t="shared" si="1"/>
        <v>4</v>
      </c>
      <c r="G22" s="1"/>
    </row>
    <row r="23" spans="2:7" ht="26.25" hidden="1" outlineLevel="1" thickBot="1">
      <c r="B23" s="7">
        <v>31</v>
      </c>
      <c r="C23" s="6" t="s">
        <v>17</v>
      </c>
      <c r="D23" s="5" t="s">
        <v>193</v>
      </c>
      <c r="E23" s="29">
        <f t="shared" si="2"/>
        <v>31</v>
      </c>
      <c r="F23" s="30">
        <f t="shared" si="1"/>
        <v>5</v>
      </c>
      <c r="G23" s="1"/>
    </row>
    <row r="24" spans="2:7" hidden="1" outlineLevel="1" thickBot="1">
      <c r="B24" s="7">
        <v>35</v>
      </c>
      <c r="C24" s="6" t="s">
        <v>182</v>
      </c>
      <c r="D24" s="5"/>
      <c r="E24" s="29" t="str">
        <f t="shared" si="2"/>
        <v/>
      </c>
      <c r="F24" s="30">
        <f t="shared" si="1"/>
        <v>5</v>
      </c>
      <c r="G24" s="1"/>
    </row>
    <row r="25" spans="2:7" hidden="1" outlineLevel="1" thickBot="1">
      <c r="B25" s="7">
        <v>36</v>
      </c>
      <c r="C25" s="6" t="s">
        <v>15</v>
      </c>
      <c r="D25" s="5" t="s">
        <v>193</v>
      </c>
      <c r="E25" s="29">
        <f t="shared" si="2"/>
        <v>36</v>
      </c>
      <c r="F25" s="30">
        <f t="shared" si="1"/>
        <v>6</v>
      </c>
      <c r="G25" s="1"/>
    </row>
    <row r="26" spans="2:7" hidden="1" outlineLevel="1" thickBot="1">
      <c r="B26" s="7">
        <v>37</v>
      </c>
      <c r="C26" s="6" t="s">
        <v>184</v>
      </c>
      <c r="D26" s="5" t="s">
        <v>193</v>
      </c>
      <c r="E26" s="29">
        <f t="shared" si="2"/>
        <v>37</v>
      </c>
      <c r="F26" s="30">
        <f t="shared" si="1"/>
        <v>7</v>
      </c>
      <c r="G26" s="1"/>
    </row>
    <row r="27" spans="2:7" hidden="1" outlineLevel="1" thickBot="1">
      <c r="B27" s="7">
        <v>38</v>
      </c>
      <c r="C27" s="6" t="s">
        <v>186</v>
      </c>
      <c r="D27" s="5" t="s">
        <v>257</v>
      </c>
      <c r="E27" s="29">
        <f t="shared" si="2"/>
        <v>38</v>
      </c>
      <c r="F27" s="30">
        <f t="shared" si="1"/>
        <v>8</v>
      </c>
      <c r="G27" s="1"/>
    </row>
    <row r="28" spans="2:7" hidden="1" outlineLevel="1" thickBot="1">
      <c r="B28" s="7">
        <v>39</v>
      </c>
      <c r="C28" s="6" t="s">
        <v>14</v>
      </c>
      <c r="D28" s="5"/>
      <c r="E28" s="29" t="str">
        <f t="shared" si="2"/>
        <v/>
      </c>
      <c r="F28" s="30">
        <f t="shared" si="1"/>
        <v>8</v>
      </c>
      <c r="G28" s="1"/>
    </row>
    <row r="29" spans="2:7" hidden="1" outlineLevel="1" thickBot="1">
      <c r="B29" s="7">
        <v>40</v>
      </c>
      <c r="C29" s="6" t="s">
        <v>13</v>
      </c>
      <c r="D29" s="5"/>
      <c r="E29" s="29" t="str">
        <f t="shared" si="2"/>
        <v/>
      </c>
      <c r="F29" s="30">
        <f t="shared" si="1"/>
        <v>8</v>
      </c>
      <c r="G29" s="1"/>
    </row>
    <row r="30" spans="2:7" hidden="1" outlineLevel="1" thickBot="1">
      <c r="B30" s="7">
        <v>41</v>
      </c>
      <c r="C30" s="6" t="s">
        <v>188</v>
      </c>
      <c r="D30" s="5" t="s">
        <v>257</v>
      </c>
      <c r="E30" s="29">
        <f t="shared" si="2"/>
        <v>41</v>
      </c>
      <c r="F30" s="30">
        <f t="shared" si="1"/>
        <v>9</v>
      </c>
      <c r="G30" s="1"/>
    </row>
    <row r="31" spans="2:7" hidden="1" outlineLevel="1" thickBot="1">
      <c r="B31" s="7">
        <v>44</v>
      </c>
      <c r="C31" s="6" t="s">
        <v>134</v>
      </c>
      <c r="D31" s="5"/>
      <c r="E31" s="29" t="str">
        <f t="shared" si="2"/>
        <v/>
      </c>
      <c r="F31" s="30">
        <f t="shared" si="1"/>
        <v>9</v>
      </c>
      <c r="G31" s="1"/>
    </row>
    <row r="32" spans="2:7" s="25" customFormat="1" collapsed="1" thickBot="1">
      <c r="B32" s="36" t="s">
        <v>74</v>
      </c>
      <c r="C32" s="37"/>
      <c r="D32" s="28">
        <f>COUNTIF(D33:D56,"v")</f>
        <v>4</v>
      </c>
      <c r="E32" s="27" t="str">
        <f t="shared" si="0"/>
        <v/>
      </c>
      <c r="F32" s="30">
        <f t="shared" si="1"/>
        <v>0</v>
      </c>
      <c r="G32" s="26"/>
    </row>
    <row r="33" spans="2:7" hidden="1" outlineLevel="1" thickBot="1">
      <c r="B33" s="7">
        <v>6</v>
      </c>
      <c r="C33" s="6" t="s">
        <v>72</v>
      </c>
      <c r="E33" s="24" t="str">
        <f t="shared" si="0"/>
        <v/>
      </c>
      <c r="F33" s="30">
        <f t="shared" si="1"/>
        <v>0</v>
      </c>
      <c r="G33" s="1"/>
    </row>
    <row r="34" spans="2:7" hidden="1" outlineLevel="1" thickBot="1">
      <c r="B34" s="7">
        <v>7</v>
      </c>
      <c r="C34" s="6" t="s">
        <v>71</v>
      </c>
      <c r="E34" s="24" t="str">
        <f t="shared" ref="E34:E56" si="3">IF(D34="v",B34,"")</f>
        <v/>
      </c>
      <c r="F34" s="30">
        <f t="shared" si="1"/>
        <v>0</v>
      </c>
    </row>
    <row r="35" spans="2:7" hidden="1" outlineLevel="1" thickBot="1">
      <c r="B35" s="7">
        <v>8</v>
      </c>
      <c r="C35" s="6" t="s">
        <v>63</v>
      </c>
      <c r="E35" s="24" t="str">
        <f t="shared" si="3"/>
        <v/>
      </c>
      <c r="F35" s="30">
        <f t="shared" si="1"/>
        <v>0</v>
      </c>
    </row>
    <row r="36" spans="2:7" hidden="1" outlineLevel="1" thickBot="1">
      <c r="B36" s="7">
        <v>9</v>
      </c>
      <c r="C36" s="6" t="s">
        <v>70</v>
      </c>
      <c r="E36" s="24" t="str">
        <f t="shared" si="3"/>
        <v/>
      </c>
      <c r="F36" s="30">
        <f t="shared" si="1"/>
        <v>0</v>
      </c>
    </row>
    <row r="37" spans="2:7" hidden="1" outlineLevel="1" thickBot="1">
      <c r="B37" s="7">
        <v>10</v>
      </c>
      <c r="C37" s="6" t="s">
        <v>189</v>
      </c>
      <c r="D37" s="22" t="s">
        <v>193</v>
      </c>
      <c r="E37" s="24">
        <f t="shared" si="3"/>
        <v>10</v>
      </c>
      <c r="F37" s="30">
        <f t="shared" si="1"/>
        <v>1</v>
      </c>
    </row>
    <row r="38" spans="2:7" hidden="1" outlineLevel="1" thickBot="1">
      <c r="B38" s="7">
        <v>16</v>
      </c>
      <c r="C38" s="6" t="s">
        <v>131</v>
      </c>
      <c r="E38" s="24" t="str">
        <f t="shared" si="3"/>
        <v/>
      </c>
      <c r="F38" s="30">
        <f t="shared" si="1"/>
        <v>1</v>
      </c>
    </row>
    <row r="39" spans="2:7" hidden="1" outlineLevel="1" thickBot="1">
      <c r="B39" s="7">
        <v>17</v>
      </c>
      <c r="C39" s="6" t="s">
        <v>117</v>
      </c>
      <c r="E39" s="24" t="str">
        <f t="shared" si="3"/>
        <v/>
      </c>
      <c r="F39" s="30">
        <f t="shared" si="1"/>
        <v>1</v>
      </c>
    </row>
    <row r="40" spans="2:7" hidden="1" outlineLevel="1" thickBot="1">
      <c r="B40" s="7">
        <v>18</v>
      </c>
      <c r="C40" s="6" t="s">
        <v>119</v>
      </c>
      <c r="E40" s="24" t="str">
        <f t="shared" si="3"/>
        <v/>
      </c>
      <c r="F40" s="30">
        <f t="shared" si="1"/>
        <v>1</v>
      </c>
    </row>
    <row r="41" spans="2:7" hidden="1" outlineLevel="1" thickBot="1">
      <c r="B41" s="7">
        <v>19</v>
      </c>
      <c r="C41" s="6" t="s">
        <v>111</v>
      </c>
      <c r="E41" s="24" t="str">
        <f t="shared" si="3"/>
        <v/>
      </c>
      <c r="F41" s="30">
        <f t="shared" si="1"/>
        <v>1</v>
      </c>
    </row>
    <row r="42" spans="2:7" hidden="1" outlineLevel="1" thickBot="1">
      <c r="B42" s="7">
        <v>20</v>
      </c>
      <c r="C42" s="6" t="s">
        <v>125</v>
      </c>
      <c r="E42" s="24" t="str">
        <f t="shared" si="3"/>
        <v/>
      </c>
      <c r="F42" s="30">
        <f t="shared" si="1"/>
        <v>1</v>
      </c>
    </row>
    <row r="43" spans="2:7" hidden="1" outlineLevel="1" thickBot="1">
      <c r="B43" s="7">
        <v>21</v>
      </c>
      <c r="C43" s="6" t="s">
        <v>115</v>
      </c>
      <c r="E43" s="24" t="str">
        <f t="shared" si="3"/>
        <v/>
      </c>
      <c r="F43" s="30">
        <f t="shared" si="1"/>
        <v>1</v>
      </c>
    </row>
    <row r="44" spans="2:7" ht="26.25" hidden="1" outlineLevel="1" thickBot="1">
      <c r="B44" s="7">
        <v>28</v>
      </c>
      <c r="C44" s="6" t="s">
        <v>137</v>
      </c>
      <c r="D44" s="22" t="s">
        <v>257</v>
      </c>
      <c r="E44" s="24">
        <f t="shared" si="3"/>
        <v>28</v>
      </c>
      <c r="F44" s="30">
        <f t="shared" si="1"/>
        <v>2</v>
      </c>
    </row>
    <row r="45" spans="2:7" hidden="1" outlineLevel="1" thickBot="1">
      <c r="B45" s="7">
        <v>29</v>
      </c>
      <c r="C45" s="6" t="s">
        <v>113</v>
      </c>
      <c r="E45" s="24" t="str">
        <f t="shared" si="3"/>
        <v/>
      </c>
      <c r="F45" s="30">
        <f t="shared" si="1"/>
        <v>2</v>
      </c>
    </row>
    <row r="46" spans="2:7" hidden="1" outlineLevel="1" thickBot="1">
      <c r="B46" s="7">
        <v>30</v>
      </c>
      <c r="C46" s="6" t="s">
        <v>121</v>
      </c>
      <c r="E46" s="24" t="str">
        <f t="shared" si="3"/>
        <v/>
      </c>
      <c r="F46" s="30">
        <f t="shared" si="1"/>
        <v>2</v>
      </c>
    </row>
    <row r="47" spans="2:7" ht="26.25" hidden="1" outlineLevel="1" thickBot="1">
      <c r="B47" s="7">
        <v>31</v>
      </c>
      <c r="C47" s="6" t="s">
        <v>69</v>
      </c>
      <c r="E47" s="24" t="str">
        <f t="shared" si="3"/>
        <v/>
      </c>
      <c r="F47" s="30">
        <f t="shared" si="1"/>
        <v>2</v>
      </c>
    </row>
    <row r="48" spans="2:7" hidden="1" outlineLevel="1" thickBot="1">
      <c r="B48" s="7">
        <v>35</v>
      </c>
      <c r="C48" s="6" t="s">
        <v>181</v>
      </c>
      <c r="D48" s="22" t="s">
        <v>194</v>
      </c>
      <c r="E48" s="24">
        <f t="shared" si="3"/>
        <v>35</v>
      </c>
      <c r="F48" s="30">
        <f t="shared" si="1"/>
        <v>3</v>
      </c>
    </row>
    <row r="49" spans="2:7" hidden="1" outlineLevel="1" thickBot="1">
      <c r="B49" s="7">
        <v>36</v>
      </c>
      <c r="C49" s="6" t="s">
        <v>67</v>
      </c>
      <c r="E49" s="24" t="str">
        <f t="shared" si="3"/>
        <v/>
      </c>
      <c r="F49" s="30">
        <f t="shared" si="1"/>
        <v>3</v>
      </c>
    </row>
    <row r="50" spans="2:7" hidden="1" outlineLevel="1" thickBot="1">
      <c r="B50" s="7">
        <v>37</v>
      </c>
      <c r="C50" s="6" t="s">
        <v>183</v>
      </c>
      <c r="E50" s="24" t="str">
        <f t="shared" si="3"/>
        <v/>
      </c>
      <c r="F50" s="30">
        <f t="shared" si="1"/>
        <v>3</v>
      </c>
    </row>
    <row r="51" spans="2:7" hidden="1" outlineLevel="1" thickBot="1">
      <c r="B51" s="7">
        <v>38</v>
      </c>
      <c r="C51" s="6" t="s">
        <v>185</v>
      </c>
      <c r="E51" s="24" t="str">
        <f t="shared" si="3"/>
        <v/>
      </c>
      <c r="F51" s="30">
        <f t="shared" si="1"/>
        <v>3</v>
      </c>
    </row>
    <row r="52" spans="2:7" hidden="1" outlineLevel="1" thickBot="1">
      <c r="B52" s="7">
        <v>39</v>
      </c>
      <c r="C52" s="6" t="s">
        <v>66</v>
      </c>
      <c r="E52" s="24" t="str">
        <f t="shared" si="3"/>
        <v/>
      </c>
      <c r="F52" s="30">
        <f t="shared" si="1"/>
        <v>3</v>
      </c>
    </row>
    <row r="53" spans="2:7" hidden="1" outlineLevel="1" thickBot="1">
      <c r="B53" s="7">
        <v>40</v>
      </c>
      <c r="C53" s="6" t="s">
        <v>65</v>
      </c>
      <c r="E53" s="24" t="str">
        <f t="shared" si="3"/>
        <v/>
      </c>
      <c r="F53" s="30">
        <f t="shared" si="1"/>
        <v>3</v>
      </c>
    </row>
    <row r="54" spans="2:7" hidden="1" outlineLevel="1" thickBot="1">
      <c r="B54" s="7">
        <v>41</v>
      </c>
      <c r="C54" s="6" t="s">
        <v>187</v>
      </c>
      <c r="E54" s="24" t="str">
        <f t="shared" si="3"/>
        <v/>
      </c>
      <c r="F54" s="30">
        <f t="shared" si="1"/>
        <v>3</v>
      </c>
    </row>
    <row r="55" spans="2:7" hidden="1" outlineLevel="1" thickBot="1">
      <c r="B55" s="7">
        <v>43</v>
      </c>
      <c r="C55" s="6" t="s">
        <v>141</v>
      </c>
      <c r="E55" s="24" t="str">
        <f t="shared" si="3"/>
        <v/>
      </c>
      <c r="F55" s="30">
        <f t="shared" si="1"/>
        <v>3</v>
      </c>
    </row>
    <row r="56" spans="2:7" hidden="1" outlineLevel="1" thickBot="1">
      <c r="B56" s="7">
        <v>44</v>
      </c>
      <c r="C56" s="6" t="s">
        <v>133</v>
      </c>
      <c r="D56" s="22" t="s">
        <v>257</v>
      </c>
      <c r="E56" s="24">
        <f t="shared" si="3"/>
        <v>44</v>
      </c>
      <c r="F56" s="30">
        <f t="shared" si="1"/>
        <v>4</v>
      </c>
    </row>
    <row r="57" spans="2:7" s="25" customFormat="1" collapsed="1" thickBot="1">
      <c r="B57" s="36" t="s">
        <v>73</v>
      </c>
      <c r="C57" s="37"/>
      <c r="D57" s="28">
        <f>COUNTIF(D58:D76,"v")</f>
        <v>0</v>
      </c>
      <c r="E57" s="27" t="str">
        <f t="shared" si="0"/>
        <v/>
      </c>
      <c r="F57" s="30">
        <f t="shared" si="1"/>
        <v>0</v>
      </c>
      <c r="G57" s="26"/>
    </row>
    <row r="58" spans="2:7" ht="17.25" hidden="1" customHeight="1" outlineLevel="1" thickBot="1">
      <c r="B58" s="5">
        <v>6</v>
      </c>
      <c r="C58" s="9" t="s">
        <v>72</v>
      </c>
      <c r="E58" s="24" t="str">
        <f t="shared" si="0"/>
        <v/>
      </c>
      <c r="F58" s="30">
        <f t="shared" si="1"/>
        <v>0</v>
      </c>
      <c r="G58" s="1"/>
    </row>
    <row r="59" spans="2:7" ht="17.25" hidden="1" customHeight="1" outlineLevel="1" thickBot="1">
      <c r="B59" s="5">
        <v>7</v>
      </c>
      <c r="C59" s="9" t="s">
        <v>71</v>
      </c>
      <c r="E59" s="24" t="str">
        <f t="shared" ref="E59:E76" si="4">IF(D59="v",B59,"")</f>
        <v/>
      </c>
      <c r="F59" s="30">
        <f t="shared" si="1"/>
        <v>0</v>
      </c>
    </row>
    <row r="60" spans="2:7" ht="17.25" hidden="1" customHeight="1" outlineLevel="1" thickBot="1">
      <c r="B60" s="5">
        <v>9</v>
      </c>
      <c r="C60" s="9" t="s">
        <v>70</v>
      </c>
      <c r="E60" s="24" t="str">
        <f t="shared" si="4"/>
        <v/>
      </c>
      <c r="F60" s="30">
        <f t="shared" si="1"/>
        <v>0</v>
      </c>
    </row>
    <row r="61" spans="2:7" ht="17.25" hidden="1" customHeight="1" outlineLevel="1" thickBot="1">
      <c r="B61" s="5">
        <v>13</v>
      </c>
      <c r="C61" s="9" t="s">
        <v>135</v>
      </c>
      <c r="E61" s="24" t="str">
        <f t="shared" si="4"/>
        <v/>
      </c>
      <c r="F61" s="30">
        <f t="shared" si="1"/>
        <v>0</v>
      </c>
    </row>
    <row r="62" spans="2:7" ht="17.25" hidden="1" customHeight="1" outlineLevel="1" thickBot="1">
      <c r="B62" s="5">
        <v>14</v>
      </c>
      <c r="C62" s="9" t="s">
        <v>93</v>
      </c>
      <c r="E62" s="24" t="str">
        <f t="shared" si="4"/>
        <v/>
      </c>
      <c r="F62" s="30">
        <f t="shared" si="1"/>
        <v>0</v>
      </c>
    </row>
    <row r="63" spans="2:7" ht="17.25" hidden="1" customHeight="1" outlineLevel="1" thickBot="1">
      <c r="B63" s="5">
        <v>15</v>
      </c>
      <c r="C63" s="9" t="s">
        <v>123</v>
      </c>
      <c r="E63" s="24" t="str">
        <f t="shared" si="4"/>
        <v/>
      </c>
      <c r="F63" s="30">
        <f t="shared" si="1"/>
        <v>0</v>
      </c>
    </row>
    <row r="64" spans="2:7" ht="17.25" hidden="1" customHeight="1" outlineLevel="1" thickBot="1">
      <c r="B64" s="5">
        <v>16</v>
      </c>
      <c r="C64" s="9" t="s">
        <v>131</v>
      </c>
      <c r="E64" s="24" t="str">
        <f t="shared" si="4"/>
        <v/>
      </c>
      <c r="F64" s="30">
        <f t="shared" si="1"/>
        <v>0</v>
      </c>
    </row>
    <row r="65" spans="2:7" ht="17.25" hidden="1" customHeight="1" outlineLevel="1" thickBot="1">
      <c r="B65" s="5">
        <v>18</v>
      </c>
      <c r="C65" s="9" t="s">
        <v>119</v>
      </c>
      <c r="E65" s="24" t="str">
        <f t="shared" si="4"/>
        <v/>
      </c>
      <c r="F65" s="30">
        <f t="shared" si="1"/>
        <v>0</v>
      </c>
    </row>
    <row r="66" spans="2:7" ht="17.25" hidden="1" customHeight="1" outlineLevel="1" thickBot="1">
      <c r="B66" s="5">
        <v>20</v>
      </c>
      <c r="C66" s="9" t="s">
        <v>125</v>
      </c>
      <c r="E66" s="24" t="str">
        <f t="shared" si="4"/>
        <v/>
      </c>
      <c r="F66" s="30">
        <f t="shared" si="1"/>
        <v>0</v>
      </c>
    </row>
    <row r="67" spans="2:7" ht="26.25" hidden="1" customHeight="1" outlineLevel="1" thickBot="1">
      <c r="B67" s="5">
        <v>28</v>
      </c>
      <c r="C67" s="9" t="s">
        <v>137</v>
      </c>
      <c r="E67" s="24" t="str">
        <f t="shared" si="4"/>
        <v/>
      </c>
      <c r="F67" s="30">
        <f t="shared" ref="F67:F130" si="5">IF(B67=E67,F66+1,IF(ISNUMBER(B67),F66,))</f>
        <v>0</v>
      </c>
    </row>
    <row r="68" spans="2:7" ht="17.25" hidden="1" customHeight="1" outlineLevel="1" thickBot="1">
      <c r="B68" s="5">
        <v>30</v>
      </c>
      <c r="C68" s="9" t="s">
        <v>121</v>
      </c>
      <c r="E68" s="24" t="str">
        <f t="shared" si="4"/>
        <v/>
      </c>
      <c r="F68" s="30">
        <f t="shared" si="5"/>
        <v>0</v>
      </c>
    </row>
    <row r="69" spans="2:7" ht="26.25" hidden="1" customHeight="1" outlineLevel="1" thickBot="1">
      <c r="B69" s="5">
        <v>31</v>
      </c>
      <c r="C69" s="9" t="s">
        <v>69</v>
      </c>
      <c r="E69" s="24" t="str">
        <f t="shared" si="4"/>
        <v/>
      </c>
      <c r="F69" s="30">
        <f t="shared" si="5"/>
        <v>0</v>
      </c>
    </row>
    <row r="70" spans="2:7" ht="17.25" hidden="1" customHeight="1" outlineLevel="1" thickBot="1">
      <c r="B70" s="5">
        <v>32</v>
      </c>
      <c r="C70" s="9" t="s">
        <v>68</v>
      </c>
      <c r="E70" s="24" t="str">
        <f t="shared" si="4"/>
        <v/>
      </c>
      <c r="F70" s="30">
        <f t="shared" si="5"/>
        <v>0</v>
      </c>
    </row>
    <row r="71" spans="2:7" ht="17.25" hidden="1" customHeight="1" outlineLevel="1" thickBot="1">
      <c r="B71" s="5">
        <v>36</v>
      </c>
      <c r="C71" s="9" t="s">
        <v>67</v>
      </c>
      <c r="E71" s="24" t="str">
        <f t="shared" si="4"/>
        <v/>
      </c>
      <c r="F71" s="30">
        <f t="shared" si="5"/>
        <v>0</v>
      </c>
    </row>
    <row r="72" spans="2:7" ht="17.25" hidden="1" customHeight="1" outlineLevel="1" thickBot="1">
      <c r="B72" s="5">
        <v>37</v>
      </c>
      <c r="C72" s="9" t="s">
        <v>183</v>
      </c>
      <c r="E72" s="24" t="str">
        <f t="shared" si="4"/>
        <v/>
      </c>
      <c r="F72" s="30">
        <f t="shared" si="5"/>
        <v>0</v>
      </c>
    </row>
    <row r="73" spans="2:7" ht="17.25" hidden="1" customHeight="1" outlineLevel="1" thickBot="1">
      <c r="B73" s="5">
        <v>39</v>
      </c>
      <c r="C73" s="9" t="s">
        <v>66</v>
      </c>
      <c r="E73" s="24" t="str">
        <f t="shared" si="4"/>
        <v/>
      </c>
      <c r="F73" s="30">
        <f t="shared" si="5"/>
        <v>0</v>
      </c>
    </row>
    <row r="74" spans="2:7" ht="17.25" hidden="1" customHeight="1" outlineLevel="1" thickBot="1">
      <c r="B74" s="5">
        <v>40</v>
      </c>
      <c r="C74" s="9" t="s">
        <v>65</v>
      </c>
      <c r="E74" s="24" t="str">
        <f t="shared" si="4"/>
        <v/>
      </c>
      <c r="F74" s="30">
        <f t="shared" si="5"/>
        <v>0</v>
      </c>
    </row>
    <row r="75" spans="2:7" ht="17.25" hidden="1" customHeight="1" outlineLevel="1" thickBot="1">
      <c r="B75" s="5">
        <v>42</v>
      </c>
      <c r="C75" s="9" t="s">
        <v>139</v>
      </c>
      <c r="E75" s="24" t="str">
        <f t="shared" si="4"/>
        <v/>
      </c>
      <c r="F75" s="30">
        <f t="shared" si="5"/>
        <v>0</v>
      </c>
    </row>
    <row r="76" spans="2:7" ht="17.25" hidden="1" customHeight="1" outlineLevel="1" thickBot="1">
      <c r="B76" s="5">
        <v>43</v>
      </c>
      <c r="C76" s="9" t="s">
        <v>141</v>
      </c>
      <c r="E76" s="24" t="str">
        <f t="shared" si="4"/>
        <v/>
      </c>
      <c r="F76" s="30">
        <f t="shared" si="5"/>
        <v>0</v>
      </c>
    </row>
    <row r="77" spans="2:7" s="25" customFormat="1" collapsed="1" thickBot="1">
      <c r="B77" s="36" t="s">
        <v>64</v>
      </c>
      <c r="C77" s="37"/>
      <c r="D77" s="28">
        <f>COUNTIF(D78:D80,"v")</f>
        <v>2</v>
      </c>
      <c r="E77" s="27" t="str">
        <f t="shared" si="0"/>
        <v/>
      </c>
      <c r="F77" s="30">
        <f t="shared" si="5"/>
        <v>0</v>
      </c>
      <c r="G77" s="26"/>
    </row>
    <row r="78" spans="2:7" hidden="1" outlineLevel="1" thickBot="1">
      <c r="B78" s="5">
        <v>8</v>
      </c>
      <c r="C78" s="9" t="s">
        <v>63</v>
      </c>
      <c r="E78" s="24" t="str">
        <f t="shared" si="0"/>
        <v/>
      </c>
      <c r="F78" s="30">
        <f t="shared" si="5"/>
        <v>0</v>
      </c>
      <c r="G78" s="1"/>
    </row>
    <row r="79" spans="2:7" hidden="1" outlineLevel="1" thickBot="1">
      <c r="B79" s="5">
        <v>22</v>
      </c>
      <c r="C79" s="9" t="s">
        <v>62</v>
      </c>
      <c r="D79" s="22" t="s">
        <v>61</v>
      </c>
      <c r="E79" s="24">
        <f t="shared" si="0"/>
        <v>22</v>
      </c>
      <c r="F79" s="30">
        <f t="shared" si="5"/>
        <v>1</v>
      </c>
    </row>
    <row r="80" spans="2:7" hidden="1" outlineLevel="1" thickBot="1">
      <c r="B80" s="5">
        <v>23</v>
      </c>
      <c r="C80" s="9" t="s">
        <v>60</v>
      </c>
      <c r="D80" s="22" t="s">
        <v>217</v>
      </c>
      <c r="E80" s="24">
        <f t="shared" si="0"/>
        <v>23</v>
      </c>
      <c r="F80" s="30">
        <f t="shared" si="5"/>
        <v>2</v>
      </c>
    </row>
    <row r="81" spans="2:7" s="25" customFormat="1" thickBot="1">
      <c r="B81" s="36" t="s">
        <v>59</v>
      </c>
      <c r="C81" s="37"/>
      <c r="D81" s="28">
        <f>COUNTIF(D82:D104,"v")</f>
        <v>8</v>
      </c>
      <c r="E81" s="27" t="str">
        <f t="shared" si="0"/>
        <v/>
      </c>
      <c r="F81" s="30">
        <f t="shared" si="5"/>
        <v>0</v>
      </c>
      <c r="G81" s="26"/>
    </row>
    <row r="82" spans="2:7" ht="26.25" outlineLevel="1" thickBot="1">
      <c r="B82" s="5">
        <v>1</v>
      </c>
      <c r="C82" s="9" t="s">
        <v>51</v>
      </c>
      <c r="D82" s="22" t="s">
        <v>217</v>
      </c>
      <c r="E82" s="24">
        <f t="shared" si="0"/>
        <v>1</v>
      </c>
      <c r="F82" s="30">
        <f t="shared" si="5"/>
        <v>1</v>
      </c>
      <c r="G82" s="1"/>
    </row>
    <row r="83" spans="2:7" ht="26.25" outlineLevel="1" thickBot="1">
      <c r="B83" s="5">
        <v>50</v>
      </c>
      <c r="C83" s="9" t="s">
        <v>50</v>
      </c>
      <c r="E83" s="24" t="str">
        <f t="shared" ref="E83:E103" si="6">IF(D83="v",B83,"")</f>
        <v/>
      </c>
      <c r="F83" s="30">
        <f t="shared" si="5"/>
        <v>1</v>
      </c>
    </row>
    <row r="84" spans="2:7" ht="26.25" outlineLevel="1" thickBot="1">
      <c r="B84" s="5">
        <v>51</v>
      </c>
      <c r="C84" s="9" t="s">
        <v>49</v>
      </c>
      <c r="E84" s="24" t="str">
        <f t="shared" si="6"/>
        <v/>
      </c>
      <c r="F84" s="30">
        <f t="shared" si="5"/>
        <v>1</v>
      </c>
    </row>
    <row r="85" spans="2:7" ht="26.25" outlineLevel="1" thickBot="1">
      <c r="B85" s="5">
        <v>52</v>
      </c>
      <c r="C85" s="9" t="s">
        <v>48</v>
      </c>
      <c r="D85" s="22" t="s">
        <v>273</v>
      </c>
      <c r="E85" s="24">
        <f t="shared" si="6"/>
        <v>52</v>
      </c>
      <c r="F85" s="30">
        <f t="shared" si="5"/>
        <v>2</v>
      </c>
    </row>
    <row r="86" spans="2:7" ht="26.25" outlineLevel="1" thickBot="1">
      <c r="B86" s="5">
        <v>54</v>
      </c>
      <c r="C86" s="9" t="s">
        <v>46</v>
      </c>
      <c r="E86" s="24" t="str">
        <f t="shared" si="6"/>
        <v/>
      </c>
      <c r="F86" s="30">
        <f t="shared" si="5"/>
        <v>2</v>
      </c>
    </row>
    <row r="87" spans="2:7" ht="26.25" outlineLevel="1" thickBot="1">
      <c r="B87" s="5">
        <v>55</v>
      </c>
      <c r="C87" s="9" t="s">
        <v>45</v>
      </c>
      <c r="E87" s="24" t="str">
        <f t="shared" si="6"/>
        <v/>
      </c>
      <c r="F87" s="30">
        <f t="shared" si="5"/>
        <v>2</v>
      </c>
      <c r="G87" s="1"/>
    </row>
    <row r="88" spans="2:7" ht="26.25" outlineLevel="1" thickBot="1">
      <c r="B88" s="5">
        <v>56</v>
      </c>
      <c r="C88" s="9" t="s">
        <v>44</v>
      </c>
      <c r="E88" s="24" t="str">
        <f t="shared" si="6"/>
        <v/>
      </c>
      <c r="F88" s="30">
        <f t="shared" si="5"/>
        <v>2</v>
      </c>
    </row>
    <row r="89" spans="2:7" ht="26.25" outlineLevel="1" thickBot="1">
      <c r="B89" s="5">
        <v>64</v>
      </c>
      <c r="C89" s="9" t="s">
        <v>41</v>
      </c>
      <c r="E89" s="24" t="str">
        <f t="shared" si="6"/>
        <v/>
      </c>
      <c r="F89" s="30">
        <f t="shared" si="5"/>
        <v>2</v>
      </c>
    </row>
    <row r="90" spans="2:7" ht="26.25" outlineLevel="1" thickBot="1">
      <c r="B90" s="5">
        <v>68</v>
      </c>
      <c r="C90" s="9" t="s">
        <v>40</v>
      </c>
      <c r="E90" s="24" t="str">
        <f t="shared" si="6"/>
        <v/>
      </c>
      <c r="F90" s="30">
        <f t="shared" si="5"/>
        <v>2</v>
      </c>
    </row>
    <row r="91" spans="2:7" ht="26.25" outlineLevel="1" thickBot="1">
      <c r="B91" s="5">
        <v>74</v>
      </c>
      <c r="C91" s="9" t="s">
        <v>39</v>
      </c>
      <c r="E91" s="24" t="str">
        <f t="shared" si="6"/>
        <v/>
      </c>
      <c r="F91" s="30">
        <f t="shared" si="5"/>
        <v>2</v>
      </c>
    </row>
    <row r="92" spans="2:7" outlineLevel="1" thickBot="1">
      <c r="B92" s="5">
        <v>75</v>
      </c>
      <c r="C92" s="9" t="s">
        <v>38</v>
      </c>
      <c r="D92" s="22" t="s">
        <v>273</v>
      </c>
      <c r="E92" s="24">
        <f t="shared" si="6"/>
        <v>75</v>
      </c>
      <c r="F92" s="30">
        <f t="shared" si="5"/>
        <v>3</v>
      </c>
      <c r="G92" s="1"/>
    </row>
    <row r="93" spans="2:7" ht="26.25" outlineLevel="1" thickBot="1">
      <c r="B93" s="5">
        <v>76</v>
      </c>
      <c r="C93" s="9" t="s">
        <v>37</v>
      </c>
      <c r="E93" s="24" t="str">
        <f t="shared" si="6"/>
        <v/>
      </c>
      <c r="F93" s="30">
        <f t="shared" si="5"/>
        <v>3</v>
      </c>
    </row>
    <row r="94" spans="2:7" ht="26.25" outlineLevel="1" thickBot="1">
      <c r="B94" s="5">
        <v>77</v>
      </c>
      <c r="C94" s="9" t="s">
        <v>36</v>
      </c>
      <c r="D94" s="22" t="s">
        <v>195</v>
      </c>
      <c r="E94" s="24">
        <f t="shared" si="6"/>
        <v>77</v>
      </c>
      <c r="F94" s="30">
        <f t="shared" si="5"/>
        <v>4</v>
      </c>
    </row>
    <row r="95" spans="2:7" outlineLevel="1" thickBot="1">
      <c r="B95" s="5">
        <v>78</v>
      </c>
      <c r="C95" s="9" t="s">
        <v>35</v>
      </c>
      <c r="E95" s="24" t="str">
        <f t="shared" si="6"/>
        <v/>
      </c>
      <c r="F95" s="30">
        <f t="shared" si="5"/>
        <v>4</v>
      </c>
    </row>
    <row r="96" spans="2:7" outlineLevel="1" thickBot="1">
      <c r="B96" s="5">
        <v>79</v>
      </c>
      <c r="C96" s="9" t="s">
        <v>34</v>
      </c>
      <c r="D96" s="22" t="s">
        <v>218</v>
      </c>
      <c r="E96" s="24">
        <f t="shared" si="6"/>
        <v>79</v>
      </c>
      <c r="F96" s="30">
        <f t="shared" si="5"/>
        <v>5</v>
      </c>
    </row>
    <row r="97" spans="2:7" ht="26.25" outlineLevel="1" thickBot="1">
      <c r="B97" s="5">
        <v>84</v>
      </c>
      <c r="C97" s="9" t="s">
        <v>31</v>
      </c>
      <c r="E97" s="24" t="str">
        <f t="shared" si="6"/>
        <v/>
      </c>
      <c r="F97" s="30">
        <f t="shared" si="5"/>
        <v>5</v>
      </c>
    </row>
    <row r="98" spans="2:7" outlineLevel="1" thickBot="1">
      <c r="B98" s="5">
        <v>89</v>
      </c>
      <c r="C98" s="9" t="s">
        <v>30</v>
      </c>
      <c r="E98" s="24" t="str">
        <f t="shared" si="6"/>
        <v/>
      </c>
      <c r="F98" s="30">
        <f t="shared" si="5"/>
        <v>5</v>
      </c>
    </row>
    <row r="99" spans="2:7" ht="26.25" outlineLevel="1" thickBot="1">
      <c r="B99" s="5">
        <v>90</v>
      </c>
      <c r="C99" s="9" t="s">
        <v>29</v>
      </c>
      <c r="E99" s="24" t="str">
        <f t="shared" si="6"/>
        <v/>
      </c>
      <c r="F99" s="30">
        <f t="shared" si="5"/>
        <v>5</v>
      </c>
      <c r="G99" s="1"/>
    </row>
    <row r="100" spans="2:7" ht="26.25" outlineLevel="1" thickBot="1">
      <c r="B100" s="5">
        <v>93</v>
      </c>
      <c r="C100" s="9" t="s">
        <v>28</v>
      </c>
      <c r="D100" s="22" t="s">
        <v>273</v>
      </c>
      <c r="E100" s="24">
        <f t="shared" si="6"/>
        <v>93</v>
      </c>
      <c r="F100" s="30">
        <f t="shared" si="5"/>
        <v>6</v>
      </c>
    </row>
    <row r="101" spans="2:7" ht="26.25" outlineLevel="1" thickBot="1">
      <c r="B101" s="5">
        <v>95</v>
      </c>
      <c r="C101" s="9" t="s">
        <v>145</v>
      </c>
      <c r="E101" s="24" t="str">
        <f t="shared" si="6"/>
        <v/>
      </c>
      <c r="F101" s="30">
        <f t="shared" si="5"/>
        <v>6</v>
      </c>
    </row>
    <row r="102" spans="2:7" ht="26.25" outlineLevel="1" thickBot="1">
      <c r="B102" s="5">
        <v>96</v>
      </c>
      <c r="C102" s="9" t="s">
        <v>143</v>
      </c>
      <c r="E102" s="24" t="str">
        <f t="shared" si="6"/>
        <v/>
      </c>
      <c r="F102" s="30">
        <f t="shared" si="5"/>
        <v>6</v>
      </c>
    </row>
    <row r="103" spans="2:7" ht="26.25" outlineLevel="1" thickBot="1">
      <c r="B103" s="5">
        <v>97</v>
      </c>
      <c r="C103" s="9" t="s">
        <v>27</v>
      </c>
      <c r="D103" s="22" t="s">
        <v>193</v>
      </c>
      <c r="E103" s="24">
        <f t="shared" si="6"/>
        <v>97</v>
      </c>
      <c r="F103" s="30">
        <f t="shared" si="5"/>
        <v>7</v>
      </c>
    </row>
    <row r="104" spans="2:7" ht="26.25" outlineLevel="1" thickBot="1">
      <c r="B104" s="5">
        <v>100</v>
      </c>
      <c r="C104" s="9" t="s">
        <v>52</v>
      </c>
      <c r="D104" s="22" t="s">
        <v>217</v>
      </c>
      <c r="E104" s="24">
        <f t="shared" ref="E104" si="7">IF(D104="v",B104,"")</f>
        <v>100</v>
      </c>
      <c r="F104" s="30">
        <f t="shared" si="5"/>
        <v>8</v>
      </c>
    </row>
    <row r="105" spans="2:7" s="25" customFormat="1" thickBot="1">
      <c r="B105" s="36" t="s">
        <v>58</v>
      </c>
      <c r="C105" s="37"/>
      <c r="D105" s="28">
        <f>COUNTIF(D106:D128,"v")</f>
        <v>2</v>
      </c>
      <c r="E105" s="27" t="str">
        <f t="shared" ref="E105:E171" si="8">IF(D105="v",B105,"")</f>
        <v/>
      </c>
      <c r="F105" s="30">
        <f t="shared" si="5"/>
        <v>0</v>
      </c>
      <c r="G105" s="26"/>
    </row>
    <row r="106" spans="2:7" ht="26.25" outlineLevel="1" thickBot="1">
      <c r="B106" s="5">
        <v>1</v>
      </c>
      <c r="C106" s="9" t="s">
        <v>51</v>
      </c>
      <c r="D106" s="5"/>
      <c r="E106" s="24" t="str">
        <f t="shared" si="8"/>
        <v/>
      </c>
      <c r="F106" s="30">
        <f t="shared" si="5"/>
        <v>0</v>
      </c>
      <c r="G106" s="1"/>
    </row>
    <row r="107" spans="2:7" ht="26.25" outlineLevel="1" thickBot="1">
      <c r="B107" s="5">
        <v>50</v>
      </c>
      <c r="C107" s="9" t="s">
        <v>50</v>
      </c>
      <c r="D107" s="5"/>
      <c r="E107" s="24" t="str">
        <f t="shared" si="8"/>
        <v/>
      </c>
      <c r="F107" s="30">
        <f t="shared" si="5"/>
        <v>0</v>
      </c>
      <c r="G107" s="1"/>
    </row>
    <row r="108" spans="2:7" ht="26.25" outlineLevel="1" thickBot="1">
      <c r="B108" s="5">
        <v>51</v>
      </c>
      <c r="C108" s="9" t="s">
        <v>49</v>
      </c>
      <c r="D108" s="5"/>
      <c r="E108" s="24" t="str">
        <f t="shared" si="8"/>
        <v/>
      </c>
      <c r="F108" s="30">
        <f t="shared" si="5"/>
        <v>0</v>
      </c>
      <c r="G108" s="1"/>
    </row>
    <row r="109" spans="2:7" ht="26.25" outlineLevel="1" thickBot="1">
      <c r="B109" s="5">
        <v>52</v>
      </c>
      <c r="C109" s="9" t="s">
        <v>48</v>
      </c>
      <c r="D109" s="5"/>
      <c r="E109" s="24" t="str">
        <f t="shared" si="8"/>
        <v/>
      </c>
      <c r="F109" s="30">
        <f t="shared" si="5"/>
        <v>0</v>
      </c>
      <c r="G109" s="1"/>
    </row>
    <row r="110" spans="2:7" ht="26.25" outlineLevel="1" thickBot="1">
      <c r="B110" s="5">
        <v>54</v>
      </c>
      <c r="C110" s="9" t="s">
        <v>46</v>
      </c>
      <c r="D110" s="5" t="s">
        <v>193</v>
      </c>
      <c r="E110" s="24">
        <f t="shared" si="8"/>
        <v>54</v>
      </c>
      <c r="F110" s="30">
        <f t="shared" si="5"/>
        <v>1</v>
      </c>
      <c r="G110" s="1"/>
    </row>
    <row r="111" spans="2:7" ht="26.25" outlineLevel="1" thickBot="1">
      <c r="B111" s="5">
        <v>55</v>
      </c>
      <c r="C111" s="9" t="s">
        <v>45</v>
      </c>
      <c r="D111" s="5" t="s">
        <v>193</v>
      </c>
      <c r="E111" s="24">
        <f t="shared" si="8"/>
        <v>55</v>
      </c>
      <c r="F111" s="30">
        <f t="shared" si="5"/>
        <v>2</v>
      </c>
      <c r="G111" s="1"/>
    </row>
    <row r="112" spans="2:7" ht="26.25" outlineLevel="1" thickBot="1">
      <c r="B112" s="5">
        <v>56</v>
      </c>
      <c r="C112" s="9" t="s">
        <v>44</v>
      </c>
      <c r="D112" s="5"/>
      <c r="E112" s="24" t="str">
        <f t="shared" si="8"/>
        <v/>
      </c>
      <c r="F112" s="30">
        <f t="shared" si="5"/>
        <v>2</v>
      </c>
      <c r="G112" s="1"/>
    </row>
    <row r="113" spans="2:7" ht="26.25" outlineLevel="1" thickBot="1">
      <c r="B113" s="5">
        <v>57</v>
      </c>
      <c r="C113" s="9" t="s">
        <v>147</v>
      </c>
      <c r="D113" s="5"/>
      <c r="E113" s="24" t="str">
        <f t="shared" si="8"/>
        <v/>
      </c>
      <c r="F113" s="30">
        <f t="shared" si="5"/>
        <v>2</v>
      </c>
      <c r="G113" s="1"/>
    </row>
    <row r="114" spans="2:7" ht="26.25" outlineLevel="1" thickBot="1">
      <c r="B114" s="5">
        <v>61</v>
      </c>
      <c r="C114" s="9" t="s">
        <v>43</v>
      </c>
      <c r="D114" s="5"/>
      <c r="E114" s="24" t="str">
        <f t="shared" si="8"/>
        <v/>
      </c>
      <c r="F114" s="30">
        <f t="shared" si="5"/>
        <v>2</v>
      </c>
      <c r="G114" s="1"/>
    </row>
    <row r="115" spans="2:7" ht="26.25" outlineLevel="1" thickBot="1">
      <c r="B115" s="5">
        <v>63</v>
      </c>
      <c r="C115" s="9" t="s">
        <v>42</v>
      </c>
      <c r="D115" s="5"/>
      <c r="E115" s="24" t="str">
        <f t="shared" si="8"/>
        <v/>
      </c>
      <c r="F115" s="30">
        <f t="shared" si="5"/>
        <v>2</v>
      </c>
      <c r="G115" s="1"/>
    </row>
    <row r="116" spans="2:7" ht="26.25" outlineLevel="1" thickBot="1">
      <c r="B116" s="5">
        <v>65</v>
      </c>
      <c r="C116" s="9" t="s">
        <v>163</v>
      </c>
      <c r="D116" s="5"/>
      <c r="E116" s="24" t="str">
        <f t="shared" si="8"/>
        <v/>
      </c>
      <c r="F116" s="30">
        <f t="shared" si="5"/>
        <v>2</v>
      </c>
      <c r="G116" s="1"/>
    </row>
    <row r="117" spans="2:7" ht="26.25" outlineLevel="1" thickBot="1">
      <c r="B117" s="5">
        <v>66</v>
      </c>
      <c r="C117" s="9" t="s">
        <v>165</v>
      </c>
      <c r="D117" s="5"/>
      <c r="E117" s="24" t="str">
        <f t="shared" si="8"/>
        <v/>
      </c>
      <c r="F117" s="30">
        <f t="shared" si="5"/>
        <v>2</v>
      </c>
      <c r="G117" s="1"/>
    </row>
    <row r="118" spans="2:7" ht="26.25" outlineLevel="1" thickBot="1">
      <c r="B118" s="5">
        <v>68</v>
      </c>
      <c r="C118" s="9" t="s">
        <v>40</v>
      </c>
      <c r="D118" s="5"/>
      <c r="E118" s="24" t="str">
        <f t="shared" si="8"/>
        <v/>
      </c>
      <c r="F118" s="30">
        <f t="shared" si="5"/>
        <v>2</v>
      </c>
      <c r="G118" s="1"/>
    </row>
    <row r="119" spans="2:7" ht="26.25" outlineLevel="1" thickBot="1">
      <c r="B119" s="5">
        <v>74</v>
      </c>
      <c r="C119" s="9" t="s">
        <v>39</v>
      </c>
      <c r="D119" s="5"/>
      <c r="E119" s="24" t="str">
        <f t="shared" si="8"/>
        <v/>
      </c>
      <c r="F119" s="30">
        <f t="shared" si="5"/>
        <v>2</v>
      </c>
      <c r="G119" s="1"/>
    </row>
    <row r="120" spans="2:7" ht="26.25" outlineLevel="1" thickBot="1">
      <c r="B120" s="5">
        <v>76</v>
      </c>
      <c r="C120" s="9" t="s">
        <v>37</v>
      </c>
      <c r="D120" s="5"/>
      <c r="E120" s="24" t="str">
        <f t="shared" si="8"/>
        <v/>
      </c>
      <c r="F120" s="30">
        <f t="shared" si="5"/>
        <v>2</v>
      </c>
      <c r="G120" s="1"/>
    </row>
    <row r="121" spans="2:7" ht="26.25" outlineLevel="1" thickBot="1">
      <c r="B121" s="5">
        <v>77</v>
      </c>
      <c r="C121" s="9" t="s">
        <v>36</v>
      </c>
      <c r="D121" s="5"/>
      <c r="E121" s="24" t="str">
        <f t="shared" ref="E121:E128" si="9">IF(D121="v",B121,"")</f>
        <v/>
      </c>
      <c r="F121" s="30">
        <f t="shared" si="5"/>
        <v>2</v>
      </c>
      <c r="G121" s="1"/>
    </row>
    <row r="122" spans="2:7" ht="26.25" outlineLevel="1" thickBot="1">
      <c r="B122" s="5">
        <v>83</v>
      </c>
      <c r="C122" s="9" t="s">
        <v>32</v>
      </c>
      <c r="D122" s="5"/>
      <c r="E122" s="24" t="str">
        <f t="shared" si="9"/>
        <v/>
      </c>
      <c r="F122" s="30">
        <f t="shared" si="5"/>
        <v>2</v>
      </c>
      <c r="G122" s="1"/>
    </row>
    <row r="123" spans="2:7" outlineLevel="1" thickBot="1">
      <c r="B123" s="5">
        <v>85</v>
      </c>
      <c r="C123" s="9" t="s">
        <v>161</v>
      </c>
      <c r="D123" s="5"/>
      <c r="E123" s="24" t="str">
        <f t="shared" si="9"/>
        <v/>
      </c>
      <c r="F123" s="30">
        <f t="shared" si="5"/>
        <v>2</v>
      </c>
      <c r="G123" s="1"/>
    </row>
    <row r="124" spans="2:7" ht="26.25" outlineLevel="1" thickBot="1">
      <c r="B124" s="5">
        <v>90</v>
      </c>
      <c r="C124" s="9" t="s">
        <v>29</v>
      </c>
      <c r="D124" s="5"/>
      <c r="E124" s="24" t="str">
        <f t="shared" si="9"/>
        <v/>
      </c>
      <c r="F124" s="30">
        <f t="shared" si="5"/>
        <v>2</v>
      </c>
      <c r="G124" s="1"/>
    </row>
    <row r="125" spans="2:7" ht="26.25" outlineLevel="1" thickBot="1">
      <c r="B125" s="5">
        <v>93</v>
      </c>
      <c r="C125" s="9" t="s">
        <v>28</v>
      </c>
      <c r="D125" s="5"/>
      <c r="E125" s="24" t="str">
        <f t="shared" si="9"/>
        <v/>
      </c>
      <c r="F125" s="30">
        <f t="shared" si="5"/>
        <v>2</v>
      </c>
      <c r="G125" s="1"/>
    </row>
    <row r="126" spans="2:7" ht="26.25" outlineLevel="1" thickBot="1">
      <c r="B126" s="5">
        <v>95</v>
      </c>
      <c r="C126" s="9" t="s">
        <v>145</v>
      </c>
      <c r="D126" s="5"/>
      <c r="E126" s="24" t="str">
        <f t="shared" si="9"/>
        <v/>
      </c>
      <c r="F126" s="30">
        <f t="shared" si="5"/>
        <v>2</v>
      </c>
      <c r="G126" s="1"/>
    </row>
    <row r="127" spans="2:7" ht="26.25" outlineLevel="1" thickBot="1">
      <c r="B127" s="5">
        <v>96</v>
      </c>
      <c r="C127" s="9" t="s">
        <v>143</v>
      </c>
      <c r="D127" s="5"/>
      <c r="E127" s="24" t="str">
        <f t="shared" si="9"/>
        <v/>
      </c>
      <c r="F127" s="30">
        <f t="shared" si="5"/>
        <v>2</v>
      </c>
      <c r="G127" s="1"/>
    </row>
    <row r="128" spans="2:7" ht="26.25" outlineLevel="1" thickBot="1">
      <c r="B128" s="5">
        <v>100</v>
      </c>
      <c r="C128" s="9" t="s">
        <v>52</v>
      </c>
      <c r="D128" s="5"/>
      <c r="E128" s="24" t="str">
        <f t="shared" si="9"/>
        <v/>
      </c>
      <c r="F128" s="30">
        <f t="shared" si="5"/>
        <v>2</v>
      </c>
      <c r="G128" s="1"/>
    </row>
    <row r="129" spans="2:7" s="25" customFormat="1" thickBot="1">
      <c r="B129" s="36" t="s">
        <v>57</v>
      </c>
      <c r="C129" s="37"/>
      <c r="D129" s="28">
        <f>COUNTIF(D130:D140,"v")</f>
        <v>0</v>
      </c>
      <c r="E129" s="27" t="str">
        <f t="shared" si="8"/>
        <v/>
      </c>
      <c r="F129" s="30">
        <f t="shared" si="5"/>
        <v>0</v>
      </c>
      <c r="G129" s="26"/>
    </row>
    <row r="130" spans="2:7" ht="26.25" customHeight="1" outlineLevel="1" thickBot="1">
      <c r="B130" s="5">
        <v>53</v>
      </c>
      <c r="C130" s="9" t="s">
        <v>47</v>
      </c>
      <c r="D130" s="5"/>
      <c r="E130" s="24" t="str">
        <f t="shared" si="8"/>
        <v/>
      </c>
      <c r="F130" s="30">
        <f t="shared" si="5"/>
        <v>0</v>
      </c>
      <c r="G130" s="1"/>
    </row>
    <row r="131" spans="2:7" ht="26.25" customHeight="1" outlineLevel="1" thickBot="1">
      <c r="B131" s="5">
        <v>58</v>
      </c>
      <c r="C131" s="9" t="s">
        <v>149</v>
      </c>
      <c r="D131" s="5"/>
      <c r="E131" s="24" t="str">
        <f t="shared" si="8"/>
        <v/>
      </c>
      <c r="F131" s="30">
        <f t="shared" ref="F131:F194" si="10">IF(B131=E131,F130+1,IF(ISNUMBER(B131),F130,))</f>
        <v>0</v>
      </c>
      <c r="G131" s="1"/>
    </row>
    <row r="132" spans="2:7" ht="26.25" customHeight="1" outlineLevel="1" thickBot="1">
      <c r="B132" s="5">
        <v>59</v>
      </c>
      <c r="C132" s="9" t="s">
        <v>151</v>
      </c>
      <c r="D132" s="5"/>
      <c r="E132" s="24" t="str">
        <f t="shared" si="8"/>
        <v/>
      </c>
      <c r="F132" s="30">
        <f t="shared" si="10"/>
        <v>0</v>
      </c>
      <c r="G132" s="1"/>
    </row>
    <row r="133" spans="2:7" ht="26.25" customHeight="1" outlineLevel="1" thickBot="1">
      <c r="B133" s="5">
        <v>61</v>
      </c>
      <c r="C133" s="9" t="s">
        <v>43</v>
      </c>
      <c r="D133" s="5"/>
      <c r="E133" s="24" t="str">
        <f t="shared" si="8"/>
        <v/>
      </c>
      <c r="F133" s="30">
        <f t="shared" si="10"/>
        <v>0</v>
      </c>
      <c r="G133" s="1"/>
    </row>
    <row r="134" spans="2:7" ht="26.25" customHeight="1" outlineLevel="1" thickBot="1">
      <c r="B134" s="5">
        <v>63</v>
      </c>
      <c r="C134" s="9" t="s">
        <v>42</v>
      </c>
      <c r="D134" s="5"/>
      <c r="E134" s="24" t="str">
        <f t="shared" si="8"/>
        <v/>
      </c>
      <c r="F134" s="30">
        <f t="shared" si="10"/>
        <v>0</v>
      </c>
      <c r="G134" s="1"/>
    </row>
    <row r="135" spans="2:7" ht="26.25" customHeight="1" outlineLevel="1" thickBot="1">
      <c r="B135" s="5">
        <v>64</v>
      </c>
      <c r="C135" s="9" t="s">
        <v>41</v>
      </c>
      <c r="D135" s="5"/>
      <c r="E135" s="24" t="str">
        <f t="shared" si="8"/>
        <v/>
      </c>
      <c r="F135" s="30">
        <f t="shared" si="10"/>
        <v>0</v>
      </c>
      <c r="G135" s="1"/>
    </row>
    <row r="136" spans="2:7" ht="26.25" customHeight="1" outlineLevel="1" thickBot="1">
      <c r="B136" s="5">
        <v>68</v>
      </c>
      <c r="C136" s="9" t="s">
        <v>40</v>
      </c>
      <c r="D136" s="5"/>
      <c r="E136" s="24" t="str">
        <f t="shared" si="8"/>
        <v/>
      </c>
      <c r="F136" s="30">
        <f t="shared" si="10"/>
        <v>0</v>
      </c>
      <c r="G136" s="1"/>
    </row>
    <row r="137" spans="2:7" ht="26.25" customHeight="1" outlineLevel="1" thickBot="1">
      <c r="B137" s="5">
        <v>74</v>
      </c>
      <c r="C137" s="9" t="s">
        <v>39</v>
      </c>
      <c r="D137" s="5"/>
      <c r="E137" s="24" t="str">
        <f t="shared" si="8"/>
        <v/>
      </c>
      <c r="F137" s="30">
        <f t="shared" si="10"/>
        <v>0</v>
      </c>
      <c r="G137" s="1"/>
    </row>
    <row r="138" spans="2:7" ht="17.25" customHeight="1" outlineLevel="1" thickBot="1">
      <c r="B138" s="5">
        <v>78</v>
      </c>
      <c r="C138" s="9" t="s">
        <v>35</v>
      </c>
      <c r="D138" s="5"/>
      <c r="E138" s="24" t="str">
        <f t="shared" ref="E138:E140" si="11">IF(D138="v",B138,"")</f>
        <v/>
      </c>
      <c r="F138" s="30">
        <f t="shared" si="10"/>
        <v>0</v>
      </c>
      <c r="G138" s="1"/>
    </row>
    <row r="139" spans="2:7" ht="17.25" customHeight="1" outlineLevel="1" thickBot="1">
      <c r="B139" s="5">
        <v>79</v>
      </c>
      <c r="C139" s="9" t="s">
        <v>34</v>
      </c>
      <c r="D139" s="5"/>
      <c r="E139" s="24" t="str">
        <f t="shared" si="11"/>
        <v/>
      </c>
      <c r="F139" s="30">
        <f t="shared" si="10"/>
        <v>0</v>
      </c>
      <c r="G139" s="1"/>
    </row>
    <row r="140" spans="2:7" ht="26.25" customHeight="1" outlineLevel="1" thickBot="1">
      <c r="B140" s="5">
        <v>93</v>
      </c>
      <c r="C140" s="9" t="s">
        <v>28</v>
      </c>
      <c r="D140" s="5"/>
      <c r="E140" s="24" t="str">
        <f t="shared" si="11"/>
        <v/>
      </c>
      <c r="F140" s="30">
        <f t="shared" si="10"/>
        <v>0</v>
      </c>
      <c r="G140" s="1"/>
    </row>
    <row r="141" spans="2:7" s="25" customFormat="1" thickBot="1">
      <c r="B141" s="36" t="s">
        <v>56</v>
      </c>
      <c r="C141" s="37"/>
      <c r="D141" s="28">
        <f>COUNTIF(D142:D158,"v")</f>
        <v>0</v>
      </c>
      <c r="E141" s="27" t="str">
        <f t="shared" si="8"/>
        <v/>
      </c>
      <c r="F141" s="30">
        <f t="shared" si="10"/>
        <v>0</v>
      </c>
      <c r="G141" s="26"/>
    </row>
    <row r="142" spans="2:7" ht="26.25" customHeight="1" outlineLevel="1" thickBot="1">
      <c r="B142" s="5">
        <v>50</v>
      </c>
      <c r="C142" s="9" t="s">
        <v>50</v>
      </c>
      <c r="D142" s="5"/>
      <c r="E142" s="24" t="str">
        <f t="shared" si="8"/>
        <v/>
      </c>
      <c r="F142" s="30">
        <f t="shared" si="10"/>
        <v>0</v>
      </c>
      <c r="G142" s="1"/>
    </row>
    <row r="143" spans="2:7" ht="26.25" customHeight="1" outlineLevel="1" thickBot="1">
      <c r="B143" s="5">
        <v>51</v>
      </c>
      <c r="C143" s="9" t="s">
        <v>49</v>
      </c>
      <c r="D143" s="5"/>
      <c r="E143" s="24" t="str">
        <f t="shared" si="8"/>
        <v/>
      </c>
      <c r="F143" s="30">
        <f t="shared" si="10"/>
        <v>0</v>
      </c>
      <c r="G143" s="1"/>
    </row>
    <row r="144" spans="2:7" ht="26.25" customHeight="1" outlineLevel="1" thickBot="1">
      <c r="B144" s="5">
        <v>54</v>
      </c>
      <c r="C144" s="9" t="s">
        <v>46</v>
      </c>
      <c r="D144" s="5"/>
      <c r="E144" s="24" t="str">
        <f t="shared" si="8"/>
        <v/>
      </c>
      <c r="F144" s="30">
        <f t="shared" si="10"/>
        <v>0</v>
      </c>
      <c r="G144" s="1"/>
    </row>
    <row r="145" spans="2:7" ht="26.25" customHeight="1" outlineLevel="1" thickBot="1">
      <c r="B145" s="5">
        <v>55</v>
      </c>
      <c r="C145" s="9" t="s">
        <v>45</v>
      </c>
      <c r="D145" s="5"/>
      <c r="E145" s="24" t="str">
        <f t="shared" si="8"/>
        <v/>
      </c>
      <c r="F145" s="30">
        <f t="shared" si="10"/>
        <v>0</v>
      </c>
      <c r="G145" s="1"/>
    </row>
    <row r="146" spans="2:7" ht="26.25" customHeight="1" outlineLevel="1" thickBot="1">
      <c r="B146" s="5">
        <v>56</v>
      </c>
      <c r="C146" s="9" t="s">
        <v>44</v>
      </c>
      <c r="D146" s="5"/>
      <c r="E146" s="24" t="str">
        <f t="shared" si="8"/>
        <v/>
      </c>
      <c r="F146" s="30">
        <f t="shared" si="10"/>
        <v>0</v>
      </c>
      <c r="G146" s="1"/>
    </row>
    <row r="147" spans="2:7" ht="26.25" customHeight="1" outlineLevel="1" thickBot="1">
      <c r="B147" s="5">
        <v>57</v>
      </c>
      <c r="C147" s="9" t="s">
        <v>147</v>
      </c>
      <c r="D147" s="5"/>
      <c r="E147" s="24" t="str">
        <f t="shared" si="8"/>
        <v/>
      </c>
      <c r="F147" s="30">
        <f t="shared" si="10"/>
        <v>0</v>
      </c>
      <c r="G147" s="1"/>
    </row>
    <row r="148" spans="2:7" ht="26.25" customHeight="1" outlineLevel="1" thickBot="1">
      <c r="B148" s="5">
        <v>58</v>
      </c>
      <c r="C148" s="9" t="s">
        <v>149</v>
      </c>
      <c r="D148" s="5"/>
      <c r="E148" s="24" t="str">
        <f t="shared" si="8"/>
        <v/>
      </c>
      <c r="F148" s="30">
        <f t="shared" si="10"/>
        <v>0</v>
      </c>
      <c r="G148" s="1"/>
    </row>
    <row r="149" spans="2:7" ht="26.25" customHeight="1" outlineLevel="1" thickBot="1">
      <c r="B149" s="5">
        <v>59</v>
      </c>
      <c r="C149" s="9" t="s">
        <v>151</v>
      </c>
      <c r="D149" s="5"/>
      <c r="E149" s="24" t="str">
        <f t="shared" si="8"/>
        <v/>
      </c>
      <c r="F149" s="30">
        <f t="shared" si="10"/>
        <v>0</v>
      </c>
      <c r="G149" s="1"/>
    </row>
    <row r="150" spans="2:7" ht="26.25" customHeight="1" outlineLevel="1" thickBot="1">
      <c r="B150" s="5">
        <v>61</v>
      </c>
      <c r="C150" s="9" t="s">
        <v>43</v>
      </c>
      <c r="D150" s="5"/>
      <c r="E150" s="24" t="str">
        <f t="shared" si="8"/>
        <v/>
      </c>
      <c r="F150" s="30">
        <f t="shared" si="10"/>
        <v>0</v>
      </c>
      <c r="G150" s="1"/>
    </row>
    <row r="151" spans="2:7" ht="26.25" customHeight="1" outlineLevel="1" thickBot="1">
      <c r="B151" s="5">
        <v>63</v>
      </c>
      <c r="C151" s="9" t="s">
        <v>42</v>
      </c>
      <c r="D151" s="5"/>
      <c r="E151" s="24" t="str">
        <f t="shared" ref="E151:E158" si="12">IF(D151="v",B151,"")</f>
        <v/>
      </c>
      <c r="F151" s="30">
        <f t="shared" si="10"/>
        <v>0</v>
      </c>
      <c r="G151" s="1"/>
    </row>
    <row r="152" spans="2:7" ht="26.25" customHeight="1" outlineLevel="1" thickBot="1">
      <c r="B152" s="5">
        <v>68</v>
      </c>
      <c r="C152" s="9" t="s">
        <v>40</v>
      </c>
      <c r="D152" s="5"/>
      <c r="E152" s="24" t="str">
        <f t="shared" si="12"/>
        <v/>
      </c>
      <c r="F152" s="30">
        <f t="shared" si="10"/>
        <v>0</v>
      </c>
      <c r="G152" s="1"/>
    </row>
    <row r="153" spans="2:7" ht="26.25" customHeight="1" outlineLevel="1" thickBot="1">
      <c r="B153" s="5">
        <v>76</v>
      </c>
      <c r="C153" s="9" t="s">
        <v>37</v>
      </c>
      <c r="D153" s="5"/>
      <c r="E153" s="24" t="str">
        <f t="shared" si="12"/>
        <v/>
      </c>
      <c r="F153" s="30">
        <f t="shared" si="10"/>
        <v>0</v>
      </c>
      <c r="G153" s="1"/>
    </row>
    <row r="154" spans="2:7" ht="26.25" customHeight="1" outlineLevel="1" thickBot="1">
      <c r="B154" s="5">
        <v>77</v>
      </c>
      <c r="C154" s="9" t="s">
        <v>36</v>
      </c>
      <c r="D154" s="5"/>
      <c r="E154" s="24" t="str">
        <f t="shared" si="12"/>
        <v/>
      </c>
      <c r="F154" s="30">
        <f t="shared" si="10"/>
        <v>0</v>
      </c>
      <c r="G154" s="1"/>
    </row>
    <row r="155" spans="2:7" ht="17.25" customHeight="1" outlineLevel="1" thickBot="1">
      <c r="B155" s="5">
        <v>85</v>
      </c>
      <c r="C155" s="9" t="s">
        <v>161</v>
      </c>
      <c r="D155" s="5"/>
      <c r="E155" s="24" t="str">
        <f t="shared" si="12"/>
        <v/>
      </c>
      <c r="F155" s="30">
        <f t="shared" si="10"/>
        <v>0</v>
      </c>
      <c r="G155" s="1"/>
    </row>
    <row r="156" spans="2:7" ht="17.25" customHeight="1" outlineLevel="1" thickBot="1">
      <c r="B156" s="5">
        <v>94</v>
      </c>
      <c r="C156" s="9" t="s">
        <v>157</v>
      </c>
      <c r="D156" s="5"/>
      <c r="E156" s="24" t="str">
        <f t="shared" si="12"/>
        <v/>
      </c>
      <c r="F156" s="30">
        <f t="shared" si="10"/>
        <v>0</v>
      </c>
      <c r="G156" s="1"/>
    </row>
    <row r="157" spans="2:7" ht="26.25" customHeight="1" outlineLevel="1" thickBot="1">
      <c r="B157" s="5">
        <v>95</v>
      </c>
      <c r="C157" s="9" t="s">
        <v>145</v>
      </c>
      <c r="D157" s="5"/>
      <c r="E157" s="24" t="str">
        <f t="shared" si="12"/>
        <v/>
      </c>
      <c r="F157" s="30">
        <f t="shared" si="10"/>
        <v>0</v>
      </c>
      <c r="G157" s="1"/>
    </row>
    <row r="158" spans="2:7" ht="26.25" customHeight="1" outlineLevel="1" thickBot="1">
      <c r="B158" s="5">
        <v>96</v>
      </c>
      <c r="C158" s="9" t="s">
        <v>143</v>
      </c>
      <c r="D158" s="5"/>
      <c r="E158" s="24" t="str">
        <f t="shared" si="12"/>
        <v/>
      </c>
      <c r="F158" s="30">
        <f t="shared" si="10"/>
        <v>0</v>
      </c>
      <c r="G158" s="1"/>
    </row>
    <row r="159" spans="2:7" s="25" customFormat="1" thickBot="1">
      <c r="B159" s="36" t="s">
        <v>55</v>
      </c>
      <c r="C159" s="36"/>
      <c r="D159" s="28">
        <f>COUNTIF(D160:D179,"v")</f>
        <v>0</v>
      </c>
      <c r="E159" s="27" t="str">
        <f t="shared" si="8"/>
        <v/>
      </c>
      <c r="F159" s="30">
        <f t="shared" si="10"/>
        <v>0</v>
      </c>
      <c r="G159" s="26"/>
    </row>
    <row r="160" spans="2:7" ht="26.25" customHeight="1" outlineLevel="1" thickBot="1">
      <c r="B160" s="5">
        <v>50</v>
      </c>
      <c r="C160" s="9" t="s">
        <v>50</v>
      </c>
      <c r="D160" s="23"/>
      <c r="E160" s="24" t="str">
        <f t="shared" si="8"/>
        <v/>
      </c>
      <c r="F160" s="30">
        <f t="shared" si="10"/>
        <v>0</v>
      </c>
      <c r="G160" s="1"/>
    </row>
    <row r="161" spans="2:7" ht="26.25" customHeight="1" outlineLevel="1" thickBot="1">
      <c r="B161" s="5">
        <v>51</v>
      </c>
      <c r="C161" s="9" t="s">
        <v>49</v>
      </c>
      <c r="D161" s="23"/>
      <c r="E161" s="24" t="str">
        <f t="shared" si="8"/>
        <v/>
      </c>
      <c r="F161" s="30">
        <f t="shared" si="10"/>
        <v>0</v>
      </c>
      <c r="G161" s="1"/>
    </row>
    <row r="162" spans="2:7" ht="26.25" customHeight="1" outlineLevel="1" thickBot="1">
      <c r="B162" s="5">
        <v>53</v>
      </c>
      <c r="C162" s="9" t="s">
        <v>47</v>
      </c>
      <c r="E162" s="24" t="str">
        <f t="shared" si="8"/>
        <v/>
      </c>
      <c r="F162" s="30">
        <f t="shared" si="10"/>
        <v>0</v>
      </c>
      <c r="G162" s="1"/>
    </row>
    <row r="163" spans="2:7" ht="26.25" customHeight="1" outlineLevel="1" thickBot="1">
      <c r="B163" s="5">
        <v>54</v>
      </c>
      <c r="C163" s="9" t="s">
        <v>46</v>
      </c>
      <c r="D163" s="23"/>
      <c r="E163" s="24" t="str">
        <f t="shared" si="8"/>
        <v/>
      </c>
      <c r="F163" s="30">
        <f t="shared" si="10"/>
        <v>0</v>
      </c>
      <c r="G163" s="1"/>
    </row>
    <row r="164" spans="2:7" ht="26.25" customHeight="1" outlineLevel="1" thickBot="1">
      <c r="B164" s="5">
        <v>55</v>
      </c>
      <c r="C164" s="9" t="s">
        <v>45</v>
      </c>
      <c r="D164" s="5"/>
      <c r="E164" s="24" t="str">
        <f t="shared" si="8"/>
        <v/>
      </c>
      <c r="F164" s="30">
        <f t="shared" si="10"/>
        <v>0</v>
      </c>
      <c r="G164" s="1"/>
    </row>
    <row r="165" spans="2:7" ht="26.25" customHeight="1" outlineLevel="1" thickBot="1">
      <c r="B165" s="5">
        <v>61</v>
      </c>
      <c r="C165" s="9" t="s">
        <v>43</v>
      </c>
      <c r="D165" s="5"/>
      <c r="E165" s="24" t="str">
        <f t="shared" si="8"/>
        <v/>
      </c>
      <c r="F165" s="30">
        <f t="shared" si="10"/>
        <v>0</v>
      </c>
      <c r="G165" s="1"/>
    </row>
    <row r="166" spans="2:7" ht="26.25" customHeight="1" outlineLevel="1" thickBot="1">
      <c r="B166" s="5">
        <v>63</v>
      </c>
      <c r="C166" s="9" t="s">
        <v>42</v>
      </c>
      <c r="D166" s="5"/>
      <c r="E166" s="24" t="str">
        <f t="shared" si="8"/>
        <v/>
      </c>
      <c r="F166" s="30">
        <f t="shared" si="10"/>
        <v>0</v>
      </c>
      <c r="G166" s="1"/>
    </row>
    <row r="167" spans="2:7" ht="26.25" customHeight="1" outlineLevel="1" thickBot="1">
      <c r="B167" s="5">
        <v>64</v>
      </c>
      <c r="C167" s="9" t="s">
        <v>41</v>
      </c>
      <c r="D167" s="5"/>
      <c r="E167" s="24" t="str">
        <f t="shared" si="8"/>
        <v/>
      </c>
      <c r="F167" s="30">
        <f t="shared" si="10"/>
        <v>0</v>
      </c>
      <c r="G167" s="1"/>
    </row>
    <row r="168" spans="2:7" ht="26.25" customHeight="1" outlineLevel="1" thickBot="1">
      <c r="B168" s="5">
        <v>67</v>
      </c>
      <c r="C168" s="9" t="s">
        <v>167</v>
      </c>
      <c r="D168" s="5"/>
      <c r="E168" s="24" t="str">
        <f t="shared" si="8"/>
        <v/>
      </c>
      <c r="F168" s="30">
        <f t="shared" si="10"/>
        <v>0</v>
      </c>
      <c r="G168" s="1"/>
    </row>
    <row r="169" spans="2:7" ht="26.25" customHeight="1" outlineLevel="1" thickBot="1">
      <c r="B169" s="5">
        <v>68</v>
      </c>
      <c r="C169" s="9" t="s">
        <v>40</v>
      </c>
      <c r="D169" s="5"/>
      <c r="E169" s="24" t="str">
        <f t="shared" si="8"/>
        <v/>
      </c>
      <c r="F169" s="30">
        <f t="shared" si="10"/>
        <v>0</v>
      </c>
      <c r="G169" s="1"/>
    </row>
    <row r="170" spans="2:7" ht="26.25" customHeight="1" outlineLevel="1" thickBot="1">
      <c r="B170" s="5">
        <v>74</v>
      </c>
      <c r="C170" s="9" t="s">
        <v>39</v>
      </c>
      <c r="D170" s="5"/>
      <c r="E170" s="24" t="str">
        <f t="shared" si="8"/>
        <v/>
      </c>
      <c r="F170" s="30">
        <f t="shared" si="10"/>
        <v>0</v>
      </c>
      <c r="G170" s="1"/>
    </row>
    <row r="171" spans="2:7" ht="17.25" customHeight="1" outlineLevel="1" thickBot="1">
      <c r="B171" s="5">
        <v>75</v>
      </c>
      <c r="C171" s="9" t="s">
        <v>38</v>
      </c>
      <c r="D171" s="5"/>
      <c r="E171" s="24" t="str">
        <f t="shared" si="8"/>
        <v/>
      </c>
      <c r="F171" s="30">
        <f t="shared" si="10"/>
        <v>0</v>
      </c>
      <c r="G171" s="1"/>
    </row>
    <row r="172" spans="2:7" ht="26.25" customHeight="1" outlineLevel="1" thickBot="1">
      <c r="B172" s="5">
        <v>84</v>
      </c>
      <c r="C172" s="9" t="s">
        <v>31</v>
      </c>
      <c r="D172" s="5"/>
      <c r="E172" s="24" t="str">
        <f t="shared" ref="E172:E251" si="13">IF(D172="v",B172,"")</f>
        <v/>
      </c>
      <c r="F172" s="30">
        <f t="shared" si="10"/>
        <v>0</v>
      </c>
      <c r="G172" s="1"/>
    </row>
    <row r="173" spans="2:7" ht="17.25" customHeight="1" outlineLevel="1" thickBot="1">
      <c r="B173" s="5">
        <v>89</v>
      </c>
      <c r="C173" s="9" t="s">
        <v>30</v>
      </c>
      <c r="D173" s="5"/>
      <c r="E173" s="24" t="str">
        <f t="shared" si="13"/>
        <v/>
      </c>
      <c r="F173" s="30">
        <f t="shared" si="10"/>
        <v>0</v>
      </c>
      <c r="G173" s="1"/>
    </row>
    <row r="174" spans="2:7" ht="17.25" customHeight="1" outlineLevel="1" thickBot="1">
      <c r="B174" s="5">
        <v>91</v>
      </c>
      <c r="C174" s="9" t="s">
        <v>159</v>
      </c>
      <c r="D174" s="5"/>
      <c r="E174" s="24" t="str">
        <f t="shared" ref="E174:E179" si="14">IF(D174="v",B174,"")</f>
        <v/>
      </c>
      <c r="F174" s="30">
        <f t="shared" si="10"/>
        <v>0</v>
      </c>
      <c r="G174" s="1"/>
    </row>
    <row r="175" spans="2:7" ht="26.25" customHeight="1" outlineLevel="1" thickBot="1">
      <c r="B175" s="5">
        <v>92</v>
      </c>
      <c r="C175" s="9" t="s">
        <v>169</v>
      </c>
      <c r="D175" s="5"/>
      <c r="E175" s="24" t="str">
        <f t="shared" si="14"/>
        <v/>
      </c>
      <c r="F175" s="30">
        <f t="shared" si="10"/>
        <v>0</v>
      </c>
      <c r="G175" s="1"/>
    </row>
    <row r="176" spans="2:7" ht="26.25" customHeight="1" outlineLevel="1" thickBot="1">
      <c r="B176" s="5">
        <v>93</v>
      </c>
      <c r="C176" s="9" t="s">
        <v>28</v>
      </c>
      <c r="D176" s="5"/>
      <c r="E176" s="24" t="str">
        <f t="shared" si="14"/>
        <v/>
      </c>
      <c r="F176" s="30">
        <f t="shared" si="10"/>
        <v>0</v>
      </c>
      <c r="G176" s="1"/>
    </row>
    <row r="177" spans="2:7" ht="26.25" customHeight="1" outlineLevel="1" thickBot="1">
      <c r="B177" s="5">
        <v>97</v>
      </c>
      <c r="C177" s="9" t="s">
        <v>27</v>
      </c>
      <c r="D177" s="5"/>
      <c r="E177" s="24" t="str">
        <f t="shared" si="14"/>
        <v/>
      </c>
      <c r="F177" s="30">
        <f t="shared" si="10"/>
        <v>0</v>
      </c>
      <c r="G177" s="1"/>
    </row>
    <row r="178" spans="2:7" ht="26.25" customHeight="1" outlineLevel="1" thickBot="1">
      <c r="B178" s="5">
        <v>98</v>
      </c>
      <c r="C178" s="9" t="s">
        <v>153</v>
      </c>
      <c r="D178" s="5"/>
      <c r="E178" s="24" t="str">
        <f t="shared" si="14"/>
        <v/>
      </c>
      <c r="F178" s="30">
        <f t="shared" si="10"/>
        <v>0</v>
      </c>
      <c r="G178" s="1"/>
    </row>
    <row r="179" spans="2:7" ht="26.25" customHeight="1" outlineLevel="1" thickBot="1">
      <c r="B179" s="5">
        <v>99</v>
      </c>
      <c r="C179" s="9" t="s">
        <v>155</v>
      </c>
      <c r="D179" s="5"/>
      <c r="E179" s="24" t="str">
        <f t="shared" si="14"/>
        <v/>
      </c>
      <c r="F179" s="30">
        <f t="shared" si="10"/>
        <v>0</v>
      </c>
      <c r="G179" s="1"/>
    </row>
    <row r="180" spans="2:7" s="25" customFormat="1" thickBot="1">
      <c r="B180" s="36" t="s">
        <v>54</v>
      </c>
      <c r="C180" s="37"/>
      <c r="D180" s="28">
        <f>COUNTIF(D181:D208,"v")</f>
        <v>0</v>
      </c>
      <c r="E180" s="27" t="str">
        <f t="shared" si="13"/>
        <v/>
      </c>
      <c r="F180" s="30">
        <f t="shared" si="10"/>
        <v>0</v>
      </c>
      <c r="G180" s="26"/>
    </row>
    <row r="181" spans="2:7" ht="26.25" customHeight="1" outlineLevel="1" thickBot="1">
      <c r="B181" s="5">
        <v>1</v>
      </c>
      <c r="C181" s="9" t="s">
        <v>51</v>
      </c>
      <c r="D181" s="5"/>
      <c r="E181" s="24" t="str">
        <f t="shared" si="13"/>
        <v/>
      </c>
      <c r="F181" s="30">
        <f t="shared" si="10"/>
        <v>0</v>
      </c>
      <c r="G181" s="1"/>
    </row>
    <row r="182" spans="2:7" ht="26.25" customHeight="1" outlineLevel="1" thickBot="1">
      <c r="B182" s="5">
        <v>52</v>
      </c>
      <c r="C182" s="9" t="s">
        <v>48</v>
      </c>
      <c r="D182" s="5"/>
      <c r="E182" s="24" t="str">
        <f t="shared" si="13"/>
        <v/>
      </c>
      <c r="F182" s="30">
        <f t="shared" si="10"/>
        <v>0</v>
      </c>
      <c r="G182" s="1"/>
    </row>
    <row r="183" spans="2:7" ht="26.25" customHeight="1" outlineLevel="1" thickBot="1">
      <c r="B183" s="5">
        <v>53</v>
      </c>
      <c r="C183" s="9" t="s">
        <v>47</v>
      </c>
      <c r="D183" s="5"/>
      <c r="E183" s="24" t="str">
        <f t="shared" si="13"/>
        <v/>
      </c>
      <c r="F183" s="30">
        <f t="shared" si="10"/>
        <v>0</v>
      </c>
      <c r="G183" s="1"/>
    </row>
    <row r="184" spans="2:7" ht="26.25" customHeight="1" outlineLevel="1" thickBot="1">
      <c r="B184" s="5">
        <v>54</v>
      </c>
      <c r="C184" s="9" t="s">
        <v>46</v>
      </c>
      <c r="D184" s="5"/>
      <c r="E184" s="24" t="str">
        <f t="shared" si="13"/>
        <v/>
      </c>
      <c r="F184" s="30">
        <f t="shared" si="10"/>
        <v>0</v>
      </c>
      <c r="G184" s="1"/>
    </row>
    <row r="185" spans="2:7" ht="26.25" customHeight="1" outlineLevel="1" thickBot="1">
      <c r="B185" s="5">
        <v>55</v>
      </c>
      <c r="C185" s="9" t="s">
        <v>45</v>
      </c>
      <c r="D185" s="5"/>
      <c r="E185" s="24" t="str">
        <f t="shared" si="13"/>
        <v/>
      </c>
      <c r="F185" s="30">
        <f t="shared" si="10"/>
        <v>0</v>
      </c>
      <c r="G185" s="1"/>
    </row>
    <row r="186" spans="2:7" ht="26.25" customHeight="1" outlineLevel="1" thickBot="1">
      <c r="B186" s="5">
        <v>56</v>
      </c>
      <c r="C186" s="9" t="s">
        <v>44</v>
      </c>
      <c r="D186" s="5"/>
      <c r="E186" s="24" t="str">
        <f t="shared" si="13"/>
        <v/>
      </c>
      <c r="F186" s="30">
        <f t="shared" si="10"/>
        <v>0</v>
      </c>
      <c r="G186" s="1"/>
    </row>
    <row r="187" spans="2:7" ht="26.25" customHeight="1" outlineLevel="1" thickBot="1">
      <c r="B187" s="5">
        <v>57</v>
      </c>
      <c r="C187" s="9" t="s">
        <v>147</v>
      </c>
      <c r="D187" s="5"/>
      <c r="E187" s="24" t="str">
        <f t="shared" si="13"/>
        <v/>
      </c>
      <c r="F187" s="30">
        <f t="shared" si="10"/>
        <v>0</v>
      </c>
      <c r="G187" s="1"/>
    </row>
    <row r="188" spans="2:7" ht="26.25" customHeight="1" outlineLevel="1" thickBot="1">
      <c r="B188" s="5">
        <v>58</v>
      </c>
      <c r="C188" s="9" t="s">
        <v>149</v>
      </c>
      <c r="D188" s="5"/>
      <c r="E188" s="24" t="str">
        <f t="shared" ref="E188:E208" si="15">IF(D188="v",B188,"")</f>
        <v/>
      </c>
      <c r="F188" s="30">
        <f t="shared" si="10"/>
        <v>0</v>
      </c>
      <c r="G188" s="1"/>
    </row>
    <row r="189" spans="2:7" ht="26.25" customHeight="1" outlineLevel="1" thickBot="1">
      <c r="B189" s="5">
        <v>59</v>
      </c>
      <c r="C189" s="9" t="s">
        <v>151</v>
      </c>
      <c r="D189" s="5"/>
      <c r="E189" s="24" t="str">
        <f t="shared" si="15"/>
        <v/>
      </c>
      <c r="F189" s="30">
        <f t="shared" si="10"/>
        <v>0</v>
      </c>
      <c r="G189" s="1"/>
    </row>
    <row r="190" spans="2:7" ht="26.25" customHeight="1" outlineLevel="1" thickBot="1">
      <c r="B190" s="5">
        <v>64</v>
      </c>
      <c r="C190" s="9" t="s">
        <v>41</v>
      </c>
      <c r="D190" s="5"/>
      <c r="E190" s="24" t="str">
        <f t="shared" si="15"/>
        <v/>
      </c>
      <c r="F190" s="30">
        <f t="shared" si="10"/>
        <v>0</v>
      </c>
      <c r="G190" s="1"/>
    </row>
    <row r="191" spans="2:7" ht="26.25" customHeight="1" outlineLevel="1" thickBot="1">
      <c r="B191" s="5">
        <v>65</v>
      </c>
      <c r="C191" s="9" t="s">
        <v>163</v>
      </c>
      <c r="D191" s="5"/>
      <c r="E191" s="24" t="str">
        <f t="shared" si="15"/>
        <v/>
      </c>
      <c r="F191" s="30">
        <f t="shared" si="10"/>
        <v>0</v>
      </c>
      <c r="G191" s="1"/>
    </row>
    <row r="192" spans="2:7" ht="26.25" customHeight="1" outlineLevel="1" thickBot="1">
      <c r="B192" s="5">
        <v>66</v>
      </c>
      <c r="C192" s="9" t="s">
        <v>165</v>
      </c>
      <c r="D192" s="5"/>
      <c r="E192" s="24" t="str">
        <f t="shared" si="15"/>
        <v/>
      </c>
      <c r="F192" s="30">
        <f t="shared" si="10"/>
        <v>0</v>
      </c>
      <c r="G192" s="1"/>
    </row>
    <row r="193" spans="2:7" ht="26.25" customHeight="1" outlineLevel="1" thickBot="1">
      <c r="B193" s="5">
        <v>67</v>
      </c>
      <c r="C193" s="9" t="s">
        <v>167</v>
      </c>
      <c r="D193" s="5"/>
      <c r="E193" s="24" t="str">
        <f t="shared" si="15"/>
        <v/>
      </c>
      <c r="F193" s="30">
        <f t="shared" si="10"/>
        <v>0</v>
      </c>
      <c r="G193" s="1"/>
    </row>
    <row r="194" spans="2:7" ht="26.25" customHeight="1" outlineLevel="1" thickBot="1">
      <c r="B194" s="5">
        <v>68</v>
      </c>
      <c r="C194" s="9" t="s">
        <v>40</v>
      </c>
      <c r="D194" s="5"/>
      <c r="E194" s="24" t="str">
        <f t="shared" si="15"/>
        <v/>
      </c>
      <c r="F194" s="30">
        <f t="shared" si="10"/>
        <v>0</v>
      </c>
      <c r="G194" s="1"/>
    </row>
    <row r="195" spans="2:7" ht="26.25" customHeight="1" outlineLevel="1" thickBot="1">
      <c r="B195" s="5">
        <v>74</v>
      </c>
      <c r="C195" s="9" t="s">
        <v>39</v>
      </c>
      <c r="D195" s="5"/>
      <c r="E195" s="24" t="str">
        <f t="shared" si="15"/>
        <v/>
      </c>
      <c r="F195" s="30">
        <f t="shared" ref="F195:F250" si="16">IF(B195=E195,F194+1,IF(ISNUMBER(B195),F194,))</f>
        <v>0</v>
      </c>
      <c r="G195" s="1"/>
    </row>
    <row r="196" spans="2:7" ht="26.25" customHeight="1" outlineLevel="1" thickBot="1">
      <c r="B196" s="5">
        <v>76</v>
      </c>
      <c r="C196" s="9" t="s">
        <v>37</v>
      </c>
      <c r="D196" s="5"/>
      <c r="E196" s="24" t="str">
        <f t="shared" si="15"/>
        <v/>
      </c>
      <c r="F196" s="30">
        <f t="shared" si="16"/>
        <v>0</v>
      </c>
      <c r="G196" s="1"/>
    </row>
    <row r="197" spans="2:7" ht="26.25" customHeight="1" outlineLevel="1" thickBot="1">
      <c r="B197" s="5">
        <v>83</v>
      </c>
      <c r="C197" s="9" t="s">
        <v>32</v>
      </c>
      <c r="D197" s="5"/>
      <c r="E197" s="24" t="str">
        <f t="shared" si="15"/>
        <v/>
      </c>
      <c r="F197" s="30">
        <f t="shared" si="16"/>
        <v>0</v>
      </c>
      <c r="G197" s="1"/>
    </row>
    <row r="198" spans="2:7" ht="26.25" customHeight="1" outlineLevel="1" thickBot="1">
      <c r="B198" s="5">
        <v>84</v>
      </c>
      <c r="C198" s="9" t="s">
        <v>31</v>
      </c>
      <c r="D198" s="5"/>
      <c r="E198" s="24" t="str">
        <f t="shared" si="15"/>
        <v/>
      </c>
      <c r="F198" s="30">
        <f t="shared" si="16"/>
        <v>0</v>
      </c>
      <c r="G198" s="1"/>
    </row>
    <row r="199" spans="2:7" ht="17.25" customHeight="1" outlineLevel="1" thickBot="1">
      <c r="B199" s="5">
        <v>89</v>
      </c>
      <c r="C199" s="9" t="s">
        <v>30</v>
      </c>
      <c r="D199" s="5"/>
      <c r="E199" s="24" t="str">
        <f t="shared" si="15"/>
        <v/>
      </c>
      <c r="F199" s="30">
        <f t="shared" si="16"/>
        <v>0</v>
      </c>
      <c r="G199" s="1"/>
    </row>
    <row r="200" spans="2:7" ht="26.25" customHeight="1" outlineLevel="1" thickBot="1">
      <c r="B200" s="5">
        <v>90</v>
      </c>
      <c r="C200" s="9" t="s">
        <v>29</v>
      </c>
      <c r="D200" s="5"/>
      <c r="E200" s="24" t="str">
        <f t="shared" si="15"/>
        <v/>
      </c>
      <c r="F200" s="30">
        <f t="shared" si="16"/>
        <v>0</v>
      </c>
      <c r="G200" s="1"/>
    </row>
    <row r="201" spans="2:7" ht="26.25" customHeight="1" outlineLevel="1" thickBot="1">
      <c r="B201" s="5">
        <v>92</v>
      </c>
      <c r="C201" s="9" t="s">
        <v>169</v>
      </c>
      <c r="D201" s="5"/>
      <c r="E201" s="24" t="str">
        <f t="shared" si="15"/>
        <v/>
      </c>
      <c r="F201" s="30">
        <f t="shared" si="16"/>
        <v>0</v>
      </c>
      <c r="G201" s="1"/>
    </row>
    <row r="202" spans="2:7" ht="26.25" customHeight="1" outlineLevel="1" thickBot="1">
      <c r="B202" s="5">
        <v>93</v>
      </c>
      <c r="C202" s="9" t="s">
        <v>28</v>
      </c>
      <c r="D202" s="5"/>
      <c r="E202" s="24" t="str">
        <f t="shared" si="15"/>
        <v/>
      </c>
      <c r="F202" s="30">
        <f t="shared" si="16"/>
        <v>0</v>
      </c>
      <c r="G202" s="1"/>
    </row>
    <row r="203" spans="2:7" ht="26.25" customHeight="1" outlineLevel="1" thickBot="1">
      <c r="B203" s="5">
        <v>95</v>
      </c>
      <c r="C203" s="9" t="s">
        <v>145</v>
      </c>
      <c r="D203" s="5"/>
      <c r="E203" s="24" t="str">
        <f t="shared" si="15"/>
        <v/>
      </c>
      <c r="F203" s="30">
        <f t="shared" si="16"/>
        <v>0</v>
      </c>
      <c r="G203" s="1"/>
    </row>
    <row r="204" spans="2:7" ht="26.25" customHeight="1" outlineLevel="1" thickBot="1">
      <c r="B204" s="5">
        <v>96</v>
      </c>
      <c r="C204" s="9" t="s">
        <v>143</v>
      </c>
      <c r="D204" s="5"/>
      <c r="E204" s="24" t="str">
        <f t="shared" si="15"/>
        <v/>
      </c>
      <c r="F204" s="30">
        <f t="shared" si="16"/>
        <v>0</v>
      </c>
      <c r="G204" s="1"/>
    </row>
    <row r="205" spans="2:7" ht="26.25" customHeight="1" outlineLevel="1" thickBot="1">
      <c r="B205" s="5">
        <v>97</v>
      </c>
      <c r="C205" s="9" t="s">
        <v>27</v>
      </c>
      <c r="D205" s="5"/>
      <c r="E205" s="24" t="str">
        <f t="shared" si="15"/>
        <v/>
      </c>
      <c r="F205" s="30">
        <f t="shared" si="16"/>
        <v>0</v>
      </c>
      <c r="G205" s="1"/>
    </row>
    <row r="206" spans="2:7" ht="26.25" customHeight="1" outlineLevel="1" thickBot="1">
      <c r="B206" s="5">
        <v>98</v>
      </c>
      <c r="C206" s="9" t="s">
        <v>153</v>
      </c>
      <c r="D206" s="5"/>
      <c r="E206" s="24" t="str">
        <f t="shared" si="15"/>
        <v/>
      </c>
      <c r="F206" s="30">
        <f t="shared" si="16"/>
        <v>0</v>
      </c>
      <c r="G206" s="1"/>
    </row>
    <row r="207" spans="2:7" ht="26.25" customHeight="1" outlineLevel="1" thickBot="1">
      <c r="B207" s="5">
        <v>99</v>
      </c>
      <c r="C207" s="9" t="s">
        <v>155</v>
      </c>
      <c r="D207" s="5"/>
      <c r="E207" s="24" t="str">
        <f t="shared" si="15"/>
        <v/>
      </c>
      <c r="F207" s="30">
        <f t="shared" si="16"/>
        <v>0</v>
      </c>
      <c r="G207" s="1"/>
    </row>
    <row r="208" spans="2:7" ht="26.25" customHeight="1" outlineLevel="1" thickBot="1">
      <c r="B208" s="5">
        <v>100</v>
      </c>
      <c r="C208" s="9" t="s">
        <v>52</v>
      </c>
      <c r="D208" s="5"/>
      <c r="E208" s="24" t="str">
        <f t="shared" si="15"/>
        <v/>
      </c>
      <c r="F208" s="30">
        <f t="shared" si="16"/>
        <v>0</v>
      </c>
      <c r="G208" s="1"/>
    </row>
    <row r="209" spans="2:7" s="25" customFormat="1" thickBot="1">
      <c r="B209" s="36" t="s">
        <v>53</v>
      </c>
      <c r="C209" s="37"/>
      <c r="D209" s="28">
        <f>COUNTIF(D210:D249,"v")</f>
        <v>12</v>
      </c>
      <c r="E209" s="27" t="str">
        <f t="shared" si="13"/>
        <v/>
      </c>
      <c r="F209" s="30">
        <f t="shared" si="16"/>
        <v>0</v>
      </c>
      <c r="G209" s="26"/>
    </row>
    <row r="210" spans="2:7" ht="26.25" outlineLevel="1" thickBot="1">
      <c r="B210" s="5">
        <v>1</v>
      </c>
      <c r="C210" s="9" t="s">
        <v>51</v>
      </c>
      <c r="E210" s="24" t="str">
        <f t="shared" si="13"/>
        <v/>
      </c>
      <c r="F210" s="30">
        <f t="shared" si="16"/>
        <v>0</v>
      </c>
      <c r="G210" s="1"/>
    </row>
    <row r="211" spans="2:7" ht="26.25" outlineLevel="1" thickBot="1">
      <c r="B211" s="5">
        <v>50</v>
      </c>
      <c r="C211" s="9" t="s">
        <v>50</v>
      </c>
      <c r="D211" s="22" t="s">
        <v>193</v>
      </c>
      <c r="E211" s="24">
        <f t="shared" si="13"/>
        <v>50</v>
      </c>
      <c r="F211" s="30">
        <f t="shared" si="16"/>
        <v>1</v>
      </c>
      <c r="G211" s="1"/>
    </row>
    <row r="212" spans="2:7" ht="26.25" outlineLevel="1" thickBot="1">
      <c r="B212" s="5">
        <v>51</v>
      </c>
      <c r="C212" s="9" t="s">
        <v>49</v>
      </c>
      <c r="D212" s="22" t="s">
        <v>194</v>
      </c>
      <c r="E212" s="24">
        <f t="shared" si="13"/>
        <v>51</v>
      </c>
      <c r="F212" s="30">
        <f t="shared" si="16"/>
        <v>2</v>
      </c>
      <c r="G212" s="1"/>
    </row>
    <row r="213" spans="2:7" ht="26.25" outlineLevel="1" thickBot="1">
      <c r="B213" s="5">
        <v>52</v>
      </c>
      <c r="C213" s="9" t="s">
        <v>48</v>
      </c>
      <c r="E213" s="24" t="str">
        <f t="shared" si="13"/>
        <v/>
      </c>
      <c r="F213" s="30">
        <f t="shared" si="16"/>
        <v>2</v>
      </c>
      <c r="G213" s="1"/>
    </row>
    <row r="214" spans="2:7" ht="26.25" outlineLevel="1" thickBot="1">
      <c r="B214" s="5">
        <v>53</v>
      </c>
      <c r="C214" s="9" t="s">
        <v>47</v>
      </c>
      <c r="D214" s="22" t="s">
        <v>217</v>
      </c>
      <c r="E214" s="24">
        <f t="shared" si="13"/>
        <v>53</v>
      </c>
      <c r="F214" s="30">
        <f t="shared" si="16"/>
        <v>3</v>
      </c>
      <c r="G214" s="1"/>
    </row>
    <row r="215" spans="2:7" ht="26.25" outlineLevel="1" thickBot="1">
      <c r="B215" s="5">
        <v>54</v>
      </c>
      <c r="C215" s="9" t="s">
        <v>46</v>
      </c>
      <c r="E215" s="24" t="str">
        <f t="shared" si="13"/>
        <v/>
      </c>
      <c r="F215" s="30">
        <f t="shared" si="16"/>
        <v>3</v>
      </c>
      <c r="G215" s="1"/>
    </row>
    <row r="216" spans="2:7" ht="26.25" outlineLevel="1" thickBot="1">
      <c r="B216" s="5">
        <v>55</v>
      </c>
      <c r="C216" s="9" t="s">
        <v>45</v>
      </c>
      <c r="E216" s="24" t="str">
        <f t="shared" si="13"/>
        <v/>
      </c>
      <c r="F216" s="30">
        <f t="shared" si="16"/>
        <v>3</v>
      </c>
      <c r="G216" s="1"/>
    </row>
    <row r="217" spans="2:7" ht="26.25" outlineLevel="1" thickBot="1">
      <c r="B217" s="5">
        <v>56</v>
      </c>
      <c r="C217" s="9" t="s">
        <v>44</v>
      </c>
      <c r="E217" s="24" t="str">
        <f t="shared" si="13"/>
        <v/>
      </c>
      <c r="F217" s="30">
        <f t="shared" si="16"/>
        <v>3</v>
      </c>
      <c r="G217" s="1"/>
    </row>
    <row r="218" spans="2:7" ht="26.25" outlineLevel="1" thickBot="1">
      <c r="B218" s="5">
        <v>57</v>
      </c>
      <c r="C218" s="9" t="s">
        <v>147</v>
      </c>
      <c r="D218" s="22" t="s">
        <v>195</v>
      </c>
      <c r="E218" s="24">
        <f t="shared" si="13"/>
        <v>57</v>
      </c>
      <c r="F218" s="30">
        <f t="shared" si="16"/>
        <v>4</v>
      </c>
    </row>
    <row r="219" spans="2:7" ht="26.25" outlineLevel="1" thickBot="1">
      <c r="B219" s="5">
        <v>58</v>
      </c>
      <c r="C219" s="9" t="s">
        <v>149</v>
      </c>
      <c r="D219" s="22" t="s">
        <v>193</v>
      </c>
      <c r="E219" s="24">
        <f t="shared" si="13"/>
        <v>58</v>
      </c>
      <c r="F219" s="30">
        <f t="shared" si="16"/>
        <v>5</v>
      </c>
    </row>
    <row r="220" spans="2:7" ht="26.25" outlineLevel="1" thickBot="1">
      <c r="B220" s="5">
        <v>59</v>
      </c>
      <c r="C220" s="9" t="s">
        <v>151</v>
      </c>
      <c r="E220" s="24" t="str">
        <f t="shared" si="13"/>
        <v/>
      </c>
      <c r="F220" s="30">
        <f t="shared" si="16"/>
        <v>5</v>
      </c>
    </row>
    <row r="221" spans="2:7" ht="26.25" outlineLevel="1" thickBot="1">
      <c r="B221" s="5">
        <v>61</v>
      </c>
      <c r="C221" s="9" t="s">
        <v>43</v>
      </c>
      <c r="E221" s="24" t="str">
        <f t="shared" si="13"/>
        <v/>
      </c>
      <c r="F221" s="30">
        <f t="shared" si="16"/>
        <v>5</v>
      </c>
    </row>
    <row r="222" spans="2:7" ht="26.25" outlineLevel="1" thickBot="1">
      <c r="B222" s="5">
        <v>63</v>
      </c>
      <c r="C222" s="9" t="s">
        <v>42</v>
      </c>
      <c r="E222" s="24" t="str">
        <f t="shared" si="13"/>
        <v/>
      </c>
      <c r="F222" s="30">
        <f t="shared" si="16"/>
        <v>5</v>
      </c>
    </row>
    <row r="223" spans="2:7" ht="26.25" outlineLevel="1" thickBot="1">
      <c r="B223" s="5">
        <v>64</v>
      </c>
      <c r="C223" s="9" t="s">
        <v>41</v>
      </c>
      <c r="E223" s="24" t="str">
        <f t="shared" si="13"/>
        <v/>
      </c>
      <c r="F223" s="30">
        <f t="shared" si="16"/>
        <v>5</v>
      </c>
    </row>
    <row r="224" spans="2:7" ht="26.25" outlineLevel="1" thickBot="1">
      <c r="B224" s="5">
        <v>65</v>
      </c>
      <c r="C224" s="9" t="s">
        <v>163</v>
      </c>
      <c r="E224" s="24" t="str">
        <f t="shared" si="13"/>
        <v/>
      </c>
      <c r="F224" s="30">
        <f t="shared" si="16"/>
        <v>5</v>
      </c>
    </row>
    <row r="225" spans="2:6" ht="26.25" outlineLevel="1" thickBot="1">
      <c r="B225" s="5">
        <v>66</v>
      </c>
      <c r="C225" s="9" t="s">
        <v>165</v>
      </c>
      <c r="E225" s="24" t="str">
        <f t="shared" si="13"/>
        <v/>
      </c>
      <c r="F225" s="30">
        <f t="shared" si="16"/>
        <v>5</v>
      </c>
    </row>
    <row r="226" spans="2:6" ht="26.25" outlineLevel="1" thickBot="1">
      <c r="B226" s="5">
        <v>67</v>
      </c>
      <c r="C226" s="9" t="s">
        <v>167</v>
      </c>
      <c r="E226" s="24" t="str">
        <f t="shared" si="13"/>
        <v/>
      </c>
      <c r="F226" s="30">
        <f t="shared" si="16"/>
        <v>5</v>
      </c>
    </row>
    <row r="227" spans="2:6" ht="26.25" outlineLevel="1" thickBot="1">
      <c r="B227" s="5">
        <v>68</v>
      </c>
      <c r="C227" s="9" t="s">
        <v>40</v>
      </c>
      <c r="E227" s="24" t="str">
        <f t="shared" si="13"/>
        <v/>
      </c>
      <c r="F227" s="30">
        <f t="shared" si="16"/>
        <v>5</v>
      </c>
    </row>
    <row r="228" spans="2:6" ht="26.25" outlineLevel="1" thickBot="1">
      <c r="B228" s="5">
        <v>74</v>
      </c>
      <c r="C228" s="9" t="s">
        <v>39</v>
      </c>
      <c r="E228" s="24" t="str">
        <f t="shared" si="13"/>
        <v/>
      </c>
      <c r="F228" s="30">
        <f t="shared" si="16"/>
        <v>5</v>
      </c>
    </row>
    <row r="229" spans="2:6" outlineLevel="1" thickBot="1">
      <c r="B229" s="5">
        <v>75</v>
      </c>
      <c r="C229" s="9" t="s">
        <v>38</v>
      </c>
      <c r="E229" s="24" t="str">
        <f t="shared" si="13"/>
        <v/>
      </c>
      <c r="F229" s="30">
        <f t="shared" si="16"/>
        <v>5</v>
      </c>
    </row>
    <row r="230" spans="2:6" ht="26.25" outlineLevel="1" thickBot="1">
      <c r="B230" s="5">
        <v>76</v>
      </c>
      <c r="C230" s="9" t="s">
        <v>37</v>
      </c>
      <c r="E230" s="24" t="str">
        <f t="shared" si="13"/>
        <v/>
      </c>
      <c r="F230" s="30">
        <f t="shared" si="16"/>
        <v>5</v>
      </c>
    </row>
    <row r="231" spans="2:6" ht="26.25" outlineLevel="1" thickBot="1">
      <c r="B231" s="5">
        <v>77</v>
      </c>
      <c r="C231" s="9" t="s">
        <v>36</v>
      </c>
      <c r="E231" s="24" t="str">
        <f t="shared" si="13"/>
        <v/>
      </c>
      <c r="F231" s="30">
        <f t="shared" si="16"/>
        <v>5</v>
      </c>
    </row>
    <row r="232" spans="2:6" outlineLevel="1" thickBot="1">
      <c r="B232" s="5">
        <v>78</v>
      </c>
      <c r="C232" s="9" t="s">
        <v>35</v>
      </c>
      <c r="E232" s="24" t="str">
        <f t="shared" si="13"/>
        <v/>
      </c>
      <c r="F232" s="30">
        <f t="shared" si="16"/>
        <v>5</v>
      </c>
    </row>
    <row r="233" spans="2:6" outlineLevel="1" thickBot="1">
      <c r="B233" s="5">
        <v>79</v>
      </c>
      <c r="C233" s="9" t="s">
        <v>34</v>
      </c>
      <c r="E233" s="24" t="str">
        <f t="shared" si="13"/>
        <v/>
      </c>
      <c r="F233" s="30">
        <f t="shared" si="16"/>
        <v>5</v>
      </c>
    </row>
    <row r="234" spans="2:6" outlineLevel="1" thickBot="1">
      <c r="B234" s="5">
        <v>81</v>
      </c>
      <c r="C234" s="9" t="s">
        <v>33</v>
      </c>
      <c r="E234" s="24" t="str">
        <f t="shared" si="13"/>
        <v/>
      </c>
      <c r="F234" s="30">
        <f t="shared" si="16"/>
        <v>5</v>
      </c>
    </row>
    <row r="235" spans="2:6" ht="26.25" outlineLevel="1" thickBot="1">
      <c r="B235" s="5">
        <v>83</v>
      </c>
      <c r="C235" s="9" t="s">
        <v>32</v>
      </c>
      <c r="E235" s="24" t="str">
        <f t="shared" si="13"/>
        <v/>
      </c>
      <c r="F235" s="30">
        <f t="shared" si="16"/>
        <v>5</v>
      </c>
    </row>
    <row r="236" spans="2:6" ht="26.25" outlineLevel="1" thickBot="1">
      <c r="B236" s="5">
        <v>84</v>
      </c>
      <c r="C236" s="9" t="s">
        <v>31</v>
      </c>
      <c r="E236" s="24" t="str">
        <f t="shared" ref="E236:E250" si="17">IF(D236="v",B236,"")</f>
        <v/>
      </c>
      <c r="F236" s="30">
        <f t="shared" si="16"/>
        <v>5</v>
      </c>
    </row>
    <row r="237" spans="2:6" outlineLevel="1" thickBot="1">
      <c r="B237" s="5">
        <v>85</v>
      </c>
      <c r="C237" s="9" t="s">
        <v>161</v>
      </c>
      <c r="E237" s="24" t="str">
        <f t="shared" si="17"/>
        <v/>
      </c>
      <c r="F237" s="30">
        <f t="shared" si="16"/>
        <v>5</v>
      </c>
    </row>
    <row r="238" spans="2:6" outlineLevel="1" thickBot="1">
      <c r="B238" s="5">
        <v>89</v>
      </c>
      <c r="C238" s="9" t="s">
        <v>30</v>
      </c>
      <c r="E238" s="24" t="str">
        <f t="shared" si="17"/>
        <v/>
      </c>
      <c r="F238" s="30">
        <f t="shared" si="16"/>
        <v>5</v>
      </c>
    </row>
    <row r="239" spans="2:6" ht="26.25" outlineLevel="1" thickBot="1">
      <c r="B239" s="5">
        <v>90</v>
      </c>
      <c r="C239" s="9" t="s">
        <v>29</v>
      </c>
      <c r="D239" s="22" t="s">
        <v>193</v>
      </c>
      <c r="E239" s="24">
        <f t="shared" si="17"/>
        <v>90</v>
      </c>
      <c r="F239" s="30">
        <f t="shared" si="16"/>
        <v>6</v>
      </c>
    </row>
    <row r="240" spans="2:6" outlineLevel="1" thickBot="1">
      <c r="B240" s="5">
        <v>91</v>
      </c>
      <c r="C240" s="9" t="s">
        <v>159</v>
      </c>
      <c r="D240" s="22" t="s">
        <v>193</v>
      </c>
      <c r="E240" s="24">
        <f t="shared" si="17"/>
        <v>91</v>
      </c>
      <c r="F240" s="30">
        <f t="shared" si="16"/>
        <v>7</v>
      </c>
    </row>
    <row r="241" spans="2:6" ht="26.25" outlineLevel="1" thickBot="1">
      <c r="B241" s="5">
        <v>92</v>
      </c>
      <c r="C241" s="9" t="s">
        <v>169</v>
      </c>
      <c r="D241" s="22" t="s">
        <v>193</v>
      </c>
      <c r="E241" s="24">
        <f t="shared" si="17"/>
        <v>92</v>
      </c>
      <c r="F241" s="30">
        <f t="shared" si="16"/>
        <v>8</v>
      </c>
    </row>
    <row r="242" spans="2:6" ht="26.25" outlineLevel="1" thickBot="1">
      <c r="B242" s="5">
        <v>93</v>
      </c>
      <c r="C242" s="9" t="s">
        <v>28</v>
      </c>
      <c r="E242" s="24" t="str">
        <f t="shared" si="17"/>
        <v/>
      </c>
      <c r="F242" s="30">
        <f t="shared" si="16"/>
        <v>8</v>
      </c>
    </row>
    <row r="243" spans="2:6" outlineLevel="1" thickBot="1">
      <c r="B243" s="5">
        <v>94</v>
      </c>
      <c r="C243" s="9" t="s">
        <v>157</v>
      </c>
      <c r="D243" s="22" t="s">
        <v>193</v>
      </c>
      <c r="E243" s="24">
        <f t="shared" si="17"/>
        <v>94</v>
      </c>
      <c r="F243" s="30">
        <f t="shared" si="16"/>
        <v>9</v>
      </c>
    </row>
    <row r="244" spans="2:6" ht="26.25" outlineLevel="1" thickBot="1">
      <c r="B244" s="5">
        <v>95</v>
      </c>
      <c r="C244" s="9" t="s">
        <v>145</v>
      </c>
      <c r="D244" s="22" t="s">
        <v>217</v>
      </c>
      <c r="E244" s="24">
        <f t="shared" si="17"/>
        <v>95</v>
      </c>
      <c r="F244" s="30">
        <f t="shared" si="16"/>
        <v>10</v>
      </c>
    </row>
    <row r="245" spans="2:6" ht="26.25" outlineLevel="1" thickBot="1">
      <c r="B245" s="5">
        <v>96</v>
      </c>
      <c r="C245" s="9" t="s">
        <v>143</v>
      </c>
      <c r="D245" s="22" t="s">
        <v>217</v>
      </c>
      <c r="E245" s="24">
        <f t="shared" si="17"/>
        <v>96</v>
      </c>
      <c r="F245" s="30">
        <f t="shared" si="16"/>
        <v>11</v>
      </c>
    </row>
    <row r="246" spans="2:6" ht="26.25" outlineLevel="1" thickBot="1">
      <c r="B246" s="5">
        <v>97</v>
      </c>
      <c r="C246" s="9" t="s">
        <v>27</v>
      </c>
      <c r="E246" s="24" t="str">
        <f t="shared" si="17"/>
        <v/>
      </c>
      <c r="F246" s="30">
        <f t="shared" si="16"/>
        <v>11</v>
      </c>
    </row>
    <row r="247" spans="2:6" ht="26.25" outlineLevel="1" thickBot="1">
      <c r="B247" s="5">
        <v>98</v>
      </c>
      <c r="C247" s="9" t="s">
        <v>153</v>
      </c>
      <c r="E247" s="24" t="str">
        <f t="shared" si="17"/>
        <v/>
      </c>
      <c r="F247" s="30">
        <f t="shared" si="16"/>
        <v>11</v>
      </c>
    </row>
    <row r="248" spans="2:6" ht="26.25" outlineLevel="1" thickBot="1">
      <c r="B248" s="5">
        <v>99</v>
      </c>
      <c r="C248" s="9" t="s">
        <v>155</v>
      </c>
      <c r="D248" s="22" t="s">
        <v>193</v>
      </c>
      <c r="E248" s="24">
        <f t="shared" si="17"/>
        <v>99</v>
      </c>
      <c r="F248" s="30">
        <f t="shared" si="16"/>
        <v>12</v>
      </c>
    </row>
    <row r="249" spans="2:6" ht="26.25" outlineLevel="1" thickBot="1">
      <c r="B249" s="5">
        <v>100</v>
      </c>
      <c r="C249" s="9" t="s">
        <v>52</v>
      </c>
      <c r="E249" s="24" t="str">
        <f t="shared" si="17"/>
        <v/>
      </c>
      <c r="F249" s="30">
        <f t="shared" si="16"/>
        <v>12</v>
      </c>
    </row>
    <row r="250" spans="2:6" thickBot="1">
      <c r="B250" s="36" t="s">
        <v>191</v>
      </c>
      <c r="C250" s="37"/>
      <c r="D250" s="28">
        <f>COUNTIF(D251:D276,"v")</f>
        <v>0</v>
      </c>
      <c r="E250" s="27" t="str">
        <f t="shared" si="17"/>
        <v/>
      </c>
      <c r="F250" s="30">
        <f t="shared" si="16"/>
        <v>0</v>
      </c>
    </row>
    <row r="251" spans="2:6" thickBot="1">
      <c r="E251" s="23" t="str">
        <f t="shared" si="13"/>
        <v/>
      </c>
      <c r="F251" s="30"/>
    </row>
    <row r="252" spans="2:6" thickBot="1">
      <c r="E252" s="23" t="str">
        <f t="shared" ref="E252:E315" si="18">IF(D252="v",B252,"")</f>
        <v/>
      </c>
      <c r="F252" s="30"/>
    </row>
    <row r="253" spans="2:6" thickBot="1">
      <c r="E253" s="23" t="str">
        <f t="shared" si="18"/>
        <v/>
      </c>
      <c r="F253" s="30"/>
    </row>
    <row r="254" spans="2:6" thickBot="1">
      <c r="E254" s="23" t="str">
        <f t="shared" si="18"/>
        <v/>
      </c>
      <c r="F254" s="30"/>
    </row>
    <row r="255" spans="2:6" thickBot="1">
      <c r="E255" s="23" t="str">
        <f t="shared" si="18"/>
        <v/>
      </c>
      <c r="F255" s="30"/>
    </row>
    <row r="256" spans="2:6" thickBot="1">
      <c r="E256" s="23" t="str">
        <f t="shared" si="18"/>
        <v/>
      </c>
      <c r="F256" s="30"/>
    </row>
    <row r="257" spans="5:6" thickBot="1">
      <c r="E257" s="23" t="str">
        <f t="shared" si="18"/>
        <v/>
      </c>
      <c r="F257" s="30"/>
    </row>
    <row r="258" spans="5:6" thickBot="1">
      <c r="E258" s="23" t="str">
        <f t="shared" si="18"/>
        <v/>
      </c>
      <c r="F258" s="30"/>
    </row>
    <row r="259" spans="5:6" thickBot="1">
      <c r="E259" s="23" t="str">
        <f t="shared" si="18"/>
        <v/>
      </c>
      <c r="F259" s="30"/>
    </row>
    <row r="260" spans="5:6" thickBot="1">
      <c r="E260" s="23" t="str">
        <f t="shared" si="18"/>
        <v/>
      </c>
      <c r="F260" s="30"/>
    </row>
    <row r="261" spans="5:6" thickBot="1">
      <c r="E261" s="23" t="str">
        <f t="shared" si="18"/>
        <v/>
      </c>
      <c r="F261" s="30"/>
    </row>
    <row r="262" spans="5:6" thickBot="1">
      <c r="E262" s="23" t="str">
        <f t="shared" si="18"/>
        <v/>
      </c>
      <c r="F262" s="30"/>
    </row>
    <row r="263" spans="5:6" thickBot="1">
      <c r="E263" s="23" t="str">
        <f t="shared" si="18"/>
        <v/>
      </c>
      <c r="F263" s="30"/>
    </row>
    <row r="264" spans="5:6" thickBot="1">
      <c r="E264" s="23" t="str">
        <f t="shared" si="18"/>
        <v/>
      </c>
      <c r="F264" s="30"/>
    </row>
    <row r="265" spans="5:6" thickBot="1">
      <c r="E265" s="23" t="str">
        <f t="shared" si="18"/>
        <v/>
      </c>
      <c r="F265" s="30"/>
    </row>
    <row r="266" spans="5:6" thickBot="1">
      <c r="E266" s="23" t="str">
        <f t="shared" si="18"/>
        <v/>
      </c>
      <c r="F266" s="30"/>
    </row>
    <row r="267" spans="5:6" thickBot="1">
      <c r="E267" s="23" t="str">
        <f t="shared" si="18"/>
        <v/>
      </c>
      <c r="F267" s="30"/>
    </row>
    <row r="268" spans="5:6" thickBot="1">
      <c r="E268" s="23" t="str">
        <f t="shared" si="18"/>
        <v/>
      </c>
      <c r="F268" s="30"/>
    </row>
    <row r="269" spans="5:6" thickBot="1">
      <c r="E269" s="23" t="str">
        <f t="shared" si="18"/>
        <v/>
      </c>
      <c r="F269" s="30"/>
    </row>
    <row r="270" spans="5:6" thickBot="1">
      <c r="E270" s="23" t="str">
        <f t="shared" si="18"/>
        <v/>
      </c>
      <c r="F270" s="30"/>
    </row>
    <row r="271" spans="5:6" thickBot="1">
      <c r="E271" s="23" t="str">
        <f t="shared" si="18"/>
        <v/>
      </c>
      <c r="F271" s="30"/>
    </row>
    <row r="272" spans="5:6" thickBot="1">
      <c r="E272" s="23" t="str">
        <f t="shared" si="18"/>
        <v/>
      </c>
      <c r="F272" s="30"/>
    </row>
    <row r="273" spans="5:6" thickBot="1">
      <c r="E273" s="23" t="str">
        <f t="shared" si="18"/>
        <v/>
      </c>
      <c r="F273" s="30"/>
    </row>
    <row r="274" spans="5:6" thickBot="1">
      <c r="E274" s="23" t="str">
        <f t="shared" si="18"/>
        <v/>
      </c>
      <c r="F274" s="30"/>
    </row>
    <row r="275" spans="5:6" thickBot="1">
      <c r="E275" s="23" t="str">
        <f t="shared" si="18"/>
        <v/>
      </c>
      <c r="F275" s="30"/>
    </row>
    <row r="276" spans="5:6" thickBot="1">
      <c r="E276" s="23" t="str">
        <f t="shared" si="18"/>
        <v/>
      </c>
      <c r="F276" s="30"/>
    </row>
    <row r="277" spans="5:6" thickBot="1">
      <c r="E277" s="23" t="str">
        <f t="shared" si="18"/>
        <v/>
      </c>
      <c r="F277" s="30"/>
    </row>
    <row r="278" spans="5:6" thickBot="1">
      <c r="E278" s="23" t="str">
        <f t="shared" si="18"/>
        <v/>
      </c>
      <c r="F278" s="30"/>
    </row>
    <row r="279" spans="5:6" thickBot="1">
      <c r="E279" s="23" t="str">
        <f t="shared" si="18"/>
        <v/>
      </c>
      <c r="F279" s="30"/>
    </row>
    <row r="280" spans="5:6" thickBot="1">
      <c r="E280" s="23" t="str">
        <f t="shared" si="18"/>
        <v/>
      </c>
      <c r="F280" s="30"/>
    </row>
    <row r="281" spans="5:6" thickBot="1">
      <c r="E281" s="23" t="str">
        <f t="shared" si="18"/>
        <v/>
      </c>
      <c r="F281" s="30"/>
    </row>
    <row r="282" spans="5:6" thickBot="1">
      <c r="E282" s="23" t="str">
        <f t="shared" si="18"/>
        <v/>
      </c>
      <c r="F282" s="30"/>
    </row>
    <row r="283" spans="5:6" thickBot="1">
      <c r="E283" s="23" t="str">
        <f t="shared" si="18"/>
        <v/>
      </c>
      <c r="F283" s="30"/>
    </row>
    <row r="284" spans="5:6" thickBot="1">
      <c r="E284" s="23" t="str">
        <f t="shared" si="18"/>
        <v/>
      </c>
      <c r="F284" s="30"/>
    </row>
    <row r="285" spans="5:6" thickBot="1">
      <c r="E285" s="23" t="str">
        <f t="shared" si="18"/>
        <v/>
      </c>
      <c r="F285" s="30"/>
    </row>
    <row r="286" spans="5:6" thickBot="1">
      <c r="E286" s="23" t="str">
        <f t="shared" si="18"/>
        <v/>
      </c>
      <c r="F286" s="30"/>
    </row>
    <row r="287" spans="5:6" thickBot="1">
      <c r="E287" s="23" t="str">
        <f t="shared" si="18"/>
        <v/>
      </c>
      <c r="F287" s="30"/>
    </row>
    <row r="288" spans="5:6" thickBot="1">
      <c r="E288" s="23" t="str">
        <f t="shared" si="18"/>
        <v/>
      </c>
      <c r="F288" s="30"/>
    </row>
    <row r="289" spans="5:6" thickBot="1">
      <c r="E289" s="23" t="str">
        <f t="shared" si="18"/>
        <v/>
      </c>
      <c r="F289" s="30"/>
    </row>
    <row r="290" spans="5:6" thickBot="1">
      <c r="E290" s="23" t="str">
        <f t="shared" si="18"/>
        <v/>
      </c>
      <c r="F290" s="30"/>
    </row>
    <row r="291" spans="5:6" thickBot="1">
      <c r="E291" s="23" t="str">
        <f t="shared" si="18"/>
        <v/>
      </c>
      <c r="F291" s="30"/>
    </row>
    <row r="292" spans="5:6" thickBot="1">
      <c r="E292" s="23" t="str">
        <f t="shared" si="18"/>
        <v/>
      </c>
      <c r="F292" s="30"/>
    </row>
    <row r="293" spans="5:6" thickBot="1">
      <c r="E293" s="23" t="str">
        <f t="shared" si="18"/>
        <v/>
      </c>
      <c r="F293" s="30"/>
    </row>
    <row r="294" spans="5:6" thickBot="1">
      <c r="E294" s="23" t="str">
        <f t="shared" si="18"/>
        <v/>
      </c>
      <c r="F294" s="30"/>
    </row>
    <row r="295" spans="5:6" thickBot="1">
      <c r="E295" s="23" t="str">
        <f t="shared" si="18"/>
        <v/>
      </c>
      <c r="F295" s="30"/>
    </row>
    <row r="296" spans="5:6" thickBot="1">
      <c r="E296" s="23" t="str">
        <f t="shared" si="18"/>
        <v/>
      </c>
      <c r="F296" s="30"/>
    </row>
    <row r="297" spans="5:6" thickBot="1">
      <c r="E297" s="23" t="str">
        <f t="shared" si="18"/>
        <v/>
      </c>
      <c r="F297" s="30"/>
    </row>
    <row r="298" spans="5:6" thickBot="1">
      <c r="E298" s="23" t="str">
        <f t="shared" si="18"/>
        <v/>
      </c>
      <c r="F298" s="30"/>
    </row>
    <row r="299" spans="5:6" thickBot="1">
      <c r="E299" s="23" t="str">
        <f t="shared" si="18"/>
        <v/>
      </c>
      <c r="F299" s="30"/>
    </row>
    <row r="300" spans="5:6" thickBot="1">
      <c r="E300" s="23" t="str">
        <f t="shared" si="18"/>
        <v/>
      </c>
      <c r="F300" s="30"/>
    </row>
    <row r="301" spans="5:6" thickBot="1">
      <c r="E301" s="23" t="str">
        <f t="shared" si="18"/>
        <v/>
      </c>
      <c r="F301" s="30"/>
    </row>
    <row r="302" spans="5:6" thickBot="1">
      <c r="E302" s="23" t="str">
        <f t="shared" si="18"/>
        <v/>
      </c>
      <c r="F302" s="30"/>
    </row>
    <row r="303" spans="5:6" thickBot="1">
      <c r="E303" s="23" t="str">
        <f t="shared" si="18"/>
        <v/>
      </c>
      <c r="F303" s="30"/>
    </row>
    <row r="304" spans="5:6" thickBot="1">
      <c r="E304" s="23" t="str">
        <f t="shared" si="18"/>
        <v/>
      </c>
      <c r="F304" s="30"/>
    </row>
    <row r="305" spans="5:6" thickBot="1">
      <c r="E305" s="23" t="str">
        <f t="shared" si="18"/>
        <v/>
      </c>
      <c r="F305" s="30"/>
    </row>
    <row r="306" spans="5:6" thickBot="1">
      <c r="E306" s="23" t="str">
        <f t="shared" si="18"/>
        <v/>
      </c>
      <c r="F306" s="30"/>
    </row>
    <row r="307" spans="5:6" thickBot="1">
      <c r="E307" s="23" t="str">
        <f t="shared" si="18"/>
        <v/>
      </c>
      <c r="F307" s="30"/>
    </row>
    <row r="308" spans="5:6" thickBot="1">
      <c r="E308" s="23" t="str">
        <f t="shared" si="18"/>
        <v/>
      </c>
      <c r="F308" s="30"/>
    </row>
    <row r="309" spans="5:6" thickBot="1">
      <c r="E309" s="23" t="str">
        <f t="shared" si="18"/>
        <v/>
      </c>
      <c r="F309" s="30"/>
    </row>
    <row r="310" spans="5:6" thickBot="1">
      <c r="E310" s="23" t="str">
        <f t="shared" si="18"/>
        <v/>
      </c>
      <c r="F310" s="30"/>
    </row>
    <row r="311" spans="5:6" thickBot="1">
      <c r="E311" s="23" t="str">
        <f t="shared" si="18"/>
        <v/>
      </c>
      <c r="F311" s="30"/>
    </row>
    <row r="312" spans="5:6" thickBot="1">
      <c r="E312" s="23" t="str">
        <f t="shared" si="18"/>
        <v/>
      </c>
      <c r="F312" s="30"/>
    </row>
    <row r="313" spans="5:6" thickBot="1">
      <c r="E313" s="23" t="str">
        <f t="shared" si="18"/>
        <v/>
      </c>
      <c r="F313" s="30"/>
    </row>
    <row r="314" spans="5:6" thickBot="1">
      <c r="E314" s="23" t="str">
        <f t="shared" si="18"/>
        <v/>
      </c>
      <c r="F314" s="30"/>
    </row>
    <row r="315" spans="5:6" thickBot="1">
      <c r="E315" s="23" t="str">
        <f t="shared" si="18"/>
        <v/>
      </c>
      <c r="F315" s="30"/>
    </row>
    <row r="316" spans="5:6" thickBot="1">
      <c r="E316" s="23" t="str">
        <f t="shared" ref="E316:E356" si="19">IF(D316="v",B316,"")</f>
        <v/>
      </c>
      <c r="F316" s="30"/>
    </row>
    <row r="317" spans="5:6" thickBot="1">
      <c r="E317" s="23" t="str">
        <f t="shared" si="19"/>
        <v/>
      </c>
      <c r="F317" s="30"/>
    </row>
    <row r="318" spans="5:6" thickBot="1">
      <c r="E318" s="23" t="str">
        <f t="shared" si="19"/>
        <v/>
      </c>
      <c r="F318" s="30"/>
    </row>
    <row r="319" spans="5:6" thickBot="1">
      <c r="E319" s="23" t="str">
        <f t="shared" si="19"/>
        <v/>
      </c>
      <c r="F319" s="30"/>
    </row>
    <row r="320" spans="5:6" thickBot="1">
      <c r="E320" s="23" t="str">
        <f t="shared" si="19"/>
        <v/>
      </c>
      <c r="F320" s="30"/>
    </row>
    <row r="321" spans="5:6" thickBot="1">
      <c r="E321" s="23" t="str">
        <f t="shared" si="19"/>
        <v/>
      </c>
      <c r="F321" s="30"/>
    </row>
    <row r="322" spans="5:6" thickBot="1">
      <c r="E322" s="23" t="str">
        <f t="shared" si="19"/>
        <v/>
      </c>
      <c r="F322" s="30"/>
    </row>
    <row r="323" spans="5:6" thickBot="1">
      <c r="E323" s="23" t="str">
        <f t="shared" si="19"/>
        <v/>
      </c>
      <c r="F323" s="30"/>
    </row>
    <row r="324" spans="5:6" thickBot="1">
      <c r="E324" s="23" t="str">
        <f t="shared" si="19"/>
        <v/>
      </c>
      <c r="F324" s="30"/>
    </row>
    <row r="325" spans="5:6" thickBot="1">
      <c r="E325" s="23" t="str">
        <f t="shared" si="19"/>
        <v/>
      </c>
      <c r="F325" s="30"/>
    </row>
    <row r="326" spans="5:6" thickBot="1">
      <c r="E326" s="23" t="str">
        <f t="shared" si="19"/>
        <v/>
      </c>
      <c r="F326" s="30"/>
    </row>
    <row r="327" spans="5:6" thickBot="1">
      <c r="E327" s="23" t="str">
        <f t="shared" si="19"/>
        <v/>
      </c>
      <c r="F327" s="30"/>
    </row>
    <row r="328" spans="5:6" thickBot="1">
      <c r="E328" s="23" t="str">
        <f t="shared" si="19"/>
        <v/>
      </c>
      <c r="F328" s="30"/>
    </row>
    <row r="329" spans="5:6" thickBot="1">
      <c r="E329" s="23" t="str">
        <f t="shared" si="19"/>
        <v/>
      </c>
      <c r="F329" s="30"/>
    </row>
    <row r="330" spans="5:6" thickBot="1">
      <c r="E330" s="23" t="str">
        <f t="shared" si="19"/>
        <v/>
      </c>
      <c r="F330" s="30"/>
    </row>
    <row r="331" spans="5:6" thickBot="1">
      <c r="E331" s="23" t="str">
        <f t="shared" si="19"/>
        <v/>
      </c>
      <c r="F331" s="30"/>
    </row>
    <row r="332" spans="5:6" thickBot="1">
      <c r="E332" s="23" t="str">
        <f t="shared" si="19"/>
        <v/>
      </c>
      <c r="F332" s="30"/>
    </row>
    <row r="333" spans="5:6" thickBot="1">
      <c r="E333" s="23" t="str">
        <f t="shared" si="19"/>
        <v/>
      </c>
      <c r="F333" s="30"/>
    </row>
    <row r="334" spans="5:6" thickBot="1">
      <c r="E334" s="23" t="str">
        <f t="shared" si="19"/>
        <v/>
      </c>
      <c r="F334" s="30"/>
    </row>
    <row r="335" spans="5:6" thickBot="1">
      <c r="E335" s="23" t="str">
        <f t="shared" si="19"/>
        <v/>
      </c>
      <c r="F335" s="30"/>
    </row>
    <row r="336" spans="5:6" thickBot="1">
      <c r="E336" s="23" t="str">
        <f t="shared" si="19"/>
        <v/>
      </c>
      <c r="F336" s="30"/>
    </row>
    <row r="337" spans="5:6" thickBot="1">
      <c r="E337" s="23" t="str">
        <f t="shared" si="19"/>
        <v/>
      </c>
      <c r="F337" s="30"/>
    </row>
    <row r="338" spans="5:6" thickBot="1">
      <c r="E338" s="23" t="str">
        <f t="shared" si="19"/>
        <v/>
      </c>
      <c r="F338" s="30"/>
    </row>
    <row r="339" spans="5:6" thickBot="1">
      <c r="E339" s="23" t="str">
        <f t="shared" si="19"/>
        <v/>
      </c>
      <c r="F339" s="30"/>
    </row>
    <row r="340" spans="5:6" thickBot="1">
      <c r="E340" s="23" t="str">
        <f t="shared" si="19"/>
        <v/>
      </c>
      <c r="F340" s="30"/>
    </row>
    <row r="341" spans="5:6" thickBot="1">
      <c r="E341" s="23" t="str">
        <f t="shared" si="19"/>
        <v/>
      </c>
      <c r="F341" s="30"/>
    </row>
    <row r="342" spans="5:6" thickBot="1">
      <c r="E342" s="23" t="str">
        <f t="shared" si="19"/>
        <v/>
      </c>
      <c r="F342" s="30"/>
    </row>
    <row r="343" spans="5:6" thickBot="1">
      <c r="E343" s="23" t="str">
        <f t="shared" si="19"/>
        <v/>
      </c>
      <c r="F343" s="30"/>
    </row>
    <row r="344" spans="5:6" thickBot="1">
      <c r="E344" s="23" t="str">
        <f t="shared" si="19"/>
        <v/>
      </c>
      <c r="F344" s="30"/>
    </row>
    <row r="345" spans="5:6" thickBot="1">
      <c r="E345" s="23" t="str">
        <f t="shared" si="19"/>
        <v/>
      </c>
      <c r="F345" s="30"/>
    </row>
    <row r="346" spans="5:6" thickBot="1">
      <c r="E346" s="23" t="str">
        <f t="shared" si="19"/>
        <v/>
      </c>
      <c r="F346" s="30"/>
    </row>
    <row r="347" spans="5:6" thickBot="1">
      <c r="E347" s="23" t="str">
        <f t="shared" si="19"/>
        <v/>
      </c>
      <c r="F347" s="30"/>
    </row>
    <row r="348" spans="5:6" thickBot="1">
      <c r="E348" s="23" t="str">
        <f t="shared" si="19"/>
        <v/>
      </c>
      <c r="F348" s="30"/>
    </row>
    <row r="349" spans="5:6" thickBot="1">
      <c r="E349" s="23" t="str">
        <f t="shared" si="19"/>
        <v/>
      </c>
      <c r="F349" s="30"/>
    </row>
    <row r="350" spans="5:6" thickBot="1">
      <c r="E350" s="23" t="str">
        <f t="shared" si="19"/>
        <v/>
      </c>
      <c r="F350" s="30"/>
    </row>
    <row r="351" spans="5:6" thickBot="1">
      <c r="E351" s="23" t="str">
        <f t="shared" si="19"/>
        <v/>
      </c>
      <c r="F351" s="30"/>
    </row>
    <row r="352" spans="5:6" thickBot="1">
      <c r="E352" s="23" t="str">
        <f t="shared" si="19"/>
        <v/>
      </c>
      <c r="F352" s="30"/>
    </row>
    <row r="353" spans="5:6" thickBot="1">
      <c r="E353" s="23" t="str">
        <f t="shared" si="19"/>
        <v/>
      </c>
      <c r="F353" s="30"/>
    </row>
    <row r="354" spans="5:6" thickBot="1">
      <c r="E354" s="23" t="str">
        <f t="shared" si="19"/>
        <v/>
      </c>
      <c r="F354" s="30"/>
    </row>
    <row r="355" spans="5:6" thickBot="1">
      <c r="E355" s="23" t="str">
        <f t="shared" si="19"/>
        <v/>
      </c>
      <c r="F355" s="30"/>
    </row>
    <row r="356" spans="5:6" thickBot="1">
      <c r="E356" s="23" t="str">
        <f t="shared" si="19"/>
        <v/>
      </c>
      <c r="F356" s="30"/>
    </row>
  </sheetData>
  <mergeCells count="15">
    <mergeCell ref="B250:C250"/>
    <mergeCell ref="B5:C5"/>
    <mergeCell ref="B32:C32"/>
    <mergeCell ref="B57:C57"/>
    <mergeCell ref="B77:C77"/>
    <mergeCell ref="B2:C2"/>
    <mergeCell ref="B7:C7"/>
    <mergeCell ref="B209:C209"/>
    <mergeCell ref="B159:C159"/>
    <mergeCell ref="B180:C180"/>
    <mergeCell ref="B10:C10"/>
    <mergeCell ref="B141:C141"/>
    <mergeCell ref="B129:C129"/>
    <mergeCell ref="B105:C105"/>
    <mergeCell ref="B81:C81"/>
  </mergeCells>
  <phoneticPr fontId="2" type="noConversion"/>
  <conditionalFormatting sqref="E2:E356">
    <cfRule type="uniqueValues" dxfId="4" priority="14"/>
    <cfRule type="cellIs" dxfId="3" priority="15" operator="between">
      <formula>1</formula>
      <formula>100</formula>
    </cfRule>
  </conditionalFormatting>
  <conditionalFormatting sqref="F1:F1048576">
    <cfRule type="cellIs" dxfId="2" priority="1" operator="equal">
      <formula>"Index"</formula>
    </cfRule>
    <cfRule type="expression" dxfId="1" priority="2">
      <formula>ISERR(VALUE(B1))</formula>
    </cfRule>
    <cfRule type="expression" dxfId="0" priority="3">
      <formula>INDEX(F:F,ROW(F1))=INDEX(F:F,ROW(F1)-1)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D10" sqref="D10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20.625" style="2" customWidth="1"/>
    <col min="6" max="6" width="10.25" style="2" customWidth="1"/>
    <col min="7" max="7" width="45.625" style="18" customWidth="1"/>
    <col min="8" max="16384" width="9" style="2"/>
  </cols>
  <sheetData>
    <row r="1" spans="2:7">
      <c r="B1" s="2" t="s">
        <v>79</v>
      </c>
      <c r="C1" s="2" t="s">
        <v>84</v>
      </c>
      <c r="D1" s="18" t="s">
        <v>25</v>
      </c>
      <c r="E1" s="2" t="s">
        <v>83</v>
      </c>
      <c r="F1" s="2" t="s">
        <v>192</v>
      </c>
      <c r="G1" s="18" t="s">
        <v>82</v>
      </c>
    </row>
    <row r="2" spans="2:7" ht="25.5">
      <c r="B2" s="2">
        <v>1</v>
      </c>
      <c r="C2" s="2">
        <f ca="1">IFERROR(OFFSET(Assign!$B$11,MATCH($B2,Assign!$F$11:$F$31,0)-1,0),"")</f>
        <v>17</v>
      </c>
      <c r="D2" s="18" t="str">
        <f ca="1">IFERROR(OFFSET(Assign!$C$11,MATCH($B2,Assign!$F$11:$F$31,0)-1,0),"")</f>
        <v>C4/ CMP5_HP1/ CMP5_HN1/ CMP5_LP1/ CMP5_LN1/ AIO239</v>
      </c>
      <c r="E2" s="2" t="s">
        <v>203</v>
      </c>
      <c r="F2" s="2" t="s">
        <v>222</v>
      </c>
      <c r="G2" s="34" t="s">
        <v>219</v>
      </c>
    </row>
    <row r="3" spans="2:7" ht="25.5">
      <c r="B3" s="2">
        <v>2</v>
      </c>
      <c r="C3" s="2">
        <f ca="1">IFERROR(OFFSET(Assign!$B$11,MATCH($B3,Assign!$F$11:$F$31,0)-1,0),"")</f>
        <v>19</v>
      </c>
      <c r="D3" s="18" t="str">
        <f ca="1">IFERROR(OFFSET(Assign!$C$11,MATCH($B3,Assign!$F$11:$F$31,0)-1,0),"")</f>
        <v>C0/ CMP1_HP1/ CMP1_HN1/ CMP1_LP1/ CMP1_LN1/ AIO237</v>
      </c>
      <c r="E3" s="2" t="s">
        <v>259</v>
      </c>
      <c r="F3" s="2" t="s">
        <v>228</v>
      </c>
      <c r="G3" s="34" t="s">
        <v>236</v>
      </c>
    </row>
    <row r="4" spans="2:7" ht="25.5">
      <c r="B4" s="2">
        <v>3</v>
      </c>
      <c r="C4" s="2">
        <f ca="1">IFERROR(OFFSET(Assign!$B$11,MATCH($B4,Assign!$F$11:$F$31,0)-1,0),"")</f>
        <v>21</v>
      </c>
      <c r="D4" s="18" t="str">
        <f ca="1">IFERROR(OFFSET(Assign!$C$11,MATCH($B4,Assign!$F$11:$F$31,0)-1,0),"")</f>
        <v>C2/ CMP3_HP1/ CMP3_HN1/ CMP3_LP1/ CMP3_LN1/ AIO244</v>
      </c>
      <c r="E4" s="2" t="s">
        <v>204</v>
      </c>
      <c r="F4" s="2" t="s">
        <v>222</v>
      </c>
      <c r="G4" s="34" t="s">
        <v>220</v>
      </c>
    </row>
    <row r="5" spans="2:7" ht="25.5">
      <c r="B5" s="2">
        <v>4</v>
      </c>
      <c r="C5" s="2">
        <f ca="1">IFERROR(OFFSET(Assign!$B$11,MATCH($B5,Assign!$F$11:$F$31,0)-1,0),"")</f>
        <v>29</v>
      </c>
      <c r="D5" s="18" t="str">
        <f ca="1">IFERROR(OFFSET(Assign!$C$11,MATCH($B5,Assign!$F$11:$F$31,0)-1,0),"")</f>
        <v>C1/ CMP2_HP1/ CMP2_HN1/ CMP2_LP1/ CMP2_LN1/ AIO238</v>
      </c>
      <c r="E5" s="32" t="s">
        <v>231</v>
      </c>
      <c r="F5" s="2" t="s">
        <v>228</v>
      </c>
      <c r="G5" s="35" t="s">
        <v>260</v>
      </c>
    </row>
    <row r="6" spans="2:7" ht="25.5">
      <c r="B6" s="2">
        <v>5</v>
      </c>
      <c r="C6" s="2">
        <f ca="1">IFERROR(OFFSET(Assign!$B$11,MATCH($B6,Assign!$F$11:$F$31,0)-1,0),"")</f>
        <v>31</v>
      </c>
      <c r="D6" s="18" t="str">
        <f ca="1">IFERROR(OFFSET(Assign!$C$11,MATCH($B6,Assign!$F$11:$F$31,0)-1,0),"")</f>
        <v>C3/ CMP4_HP1/ CMP4_HN1/ CMP4_LP1/ CMP4_LN1/ PGA4_IN/ CMP4_HP2/ CMP4_LP2/ AIO245</v>
      </c>
      <c r="E6" s="2" t="s">
        <v>258</v>
      </c>
      <c r="F6" s="2" t="s">
        <v>222</v>
      </c>
      <c r="G6" s="34" t="s">
        <v>261</v>
      </c>
    </row>
    <row r="7" spans="2:7">
      <c r="B7" s="2">
        <v>6</v>
      </c>
      <c r="C7" s="2">
        <f ca="1">IFERROR(OFFSET(Assign!$B$11,MATCH($B7,Assign!$F$11:$F$31,0)-1,0),"")</f>
        <v>36</v>
      </c>
      <c r="D7" s="18" t="str">
        <f ca="1">IFERROR(OFFSET(Assign!$C$11,MATCH($B7,Assign!$F$11:$F$31,0)-1,0),"")</f>
        <v>A4/ B8/ PGA2_OF/ CMP2_HP0/ CMP2_LP0/ AIO225</v>
      </c>
      <c r="E7" s="2" t="s">
        <v>205</v>
      </c>
      <c r="F7" s="2" t="s">
        <v>222</v>
      </c>
      <c r="G7" s="34" t="s">
        <v>221</v>
      </c>
    </row>
    <row r="8" spans="2:7">
      <c r="B8" s="2">
        <v>7</v>
      </c>
      <c r="C8" s="2">
        <f ca="1">IFERROR(OFFSET(Assign!$B$11,MATCH($B8,Assign!$F$11:$F$31,0)-1,0),"")</f>
        <v>37</v>
      </c>
      <c r="D8" s="18" t="str">
        <f ca="1">IFERROR(OFFSET(Assign!$C$11,MATCH($B8,Assign!$F$11:$F$31,0)-1,0),"")</f>
        <v>A8/ PGA6_OF/ CMP6_HP0/ CMP6_LP0/ AIO229</v>
      </c>
      <c r="E8" s="2" t="s">
        <v>206</v>
      </c>
      <c r="F8" s="2" t="s">
        <v>222</v>
      </c>
      <c r="G8" s="34" t="s">
        <v>250</v>
      </c>
    </row>
    <row r="9" spans="2:7" ht="25.5">
      <c r="B9" s="2">
        <v>8</v>
      </c>
      <c r="C9" s="2">
        <f ca="1">IFERROR(OFFSET(Assign!$B$11,MATCH($B9,Assign!$F$11:$F$31,0)-1,0),"")</f>
        <v>38</v>
      </c>
      <c r="D9" s="18" t="str">
        <f ca="1">IFERROR(OFFSET(Assign!$C$11,MATCH($B9,Assign!$F$11:$F$31,0)-1,0),"")</f>
        <v>A9/ CMP6_HP3/ CMP6_HN0/ CMP6_LP3/ CMP6_LN0/ AIO236</v>
      </c>
      <c r="E9" s="32" t="s">
        <v>232</v>
      </c>
      <c r="F9" s="2" t="s">
        <v>228</v>
      </c>
      <c r="G9" s="35" t="s">
        <v>263</v>
      </c>
    </row>
    <row r="10" spans="2:7" ht="25.5">
      <c r="B10" s="2">
        <v>9</v>
      </c>
      <c r="C10" s="2">
        <f ca="1">IFERROR(OFFSET(Assign!$B$11,MATCH($B10,Assign!$F$11:$F$31,0)-1,0),"")</f>
        <v>41</v>
      </c>
      <c r="D10" s="18" t="str">
        <f ca="1">IFERROR(OFFSET(Assign!$C$11,MATCH($B10,Assign!$F$11:$F$31,0)-1,0),"")</f>
        <v>B0/ CMP7_HP3/ CMP7_HN0/ CMP7_LP3/ CMP7_LN0/ AIO241</v>
      </c>
      <c r="E10" s="32" t="s">
        <v>233</v>
      </c>
      <c r="F10" s="2" t="s">
        <v>228</v>
      </c>
      <c r="G10" s="35" t="s">
        <v>262</v>
      </c>
    </row>
    <row r="11" spans="2:7">
      <c r="B11" s="2">
        <v>10</v>
      </c>
      <c r="C11" s="2" t="str">
        <f ca="1">IFERROR(OFFSET(Assign!$B$11,MATCH($B11,Assign!$F$11:$F$31,0)-1,0),"")</f>
        <v/>
      </c>
      <c r="D11" s="18" t="str">
        <f ca="1">IFERROR(OFFSET(Assign!$C$11,MATCH($B11,Assign!$F$11:$F$31,0)-1,0),"")</f>
        <v/>
      </c>
    </row>
    <row r="12" spans="2:7">
      <c r="B12" s="2">
        <v>11</v>
      </c>
      <c r="C12" s="2" t="str">
        <f ca="1">IFERROR(OFFSET(Assign!$B$11,MATCH($B12,Assign!$F$11:$F$31,0)-1,0),"")</f>
        <v/>
      </c>
      <c r="D12" s="18" t="str">
        <f ca="1">IFERROR(OFFSET(Assign!$C$11,MATCH($B12,Assign!$F$11:$F$31,0)-1,0),"")</f>
        <v/>
      </c>
    </row>
    <row r="13" spans="2:7">
      <c r="B13" s="2">
        <v>12</v>
      </c>
      <c r="C13" s="2" t="str">
        <f ca="1">IFERROR(OFFSET(Assign!$B$11,MATCH($B13,Assign!$F$11:$F$31,0)-1,0),"")</f>
        <v/>
      </c>
      <c r="D13" s="18" t="str">
        <f ca="1">IFERROR(OFFSET(Assign!$C$11,MATCH($B13,Assign!$F$11:$F$31,0)-1,0),"")</f>
        <v/>
      </c>
    </row>
    <row r="14" spans="2:7">
      <c r="B14" s="2">
        <v>13</v>
      </c>
      <c r="C14" s="2" t="str">
        <f ca="1">IFERROR(OFFSET(Assign!$B$11,MATCH($B14,Assign!$F$11:$F$31,0)-1,0),"")</f>
        <v/>
      </c>
      <c r="D14" s="18" t="str">
        <f ca="1">IFERROR(OFFSET(Assign!$C$11,MATCH($B14,Assign!$F$11:$F$31,0)-1,0),"")</f>
        <v/>
      </c>
    </row>
    <row r="15" spans="2:7">
      <c r="B15" s="2">
        <v>14</v>
      </c>
      <c r="C15" s="2" t="str">
        <f ca="1">IFERROR(OFFSET(Assign!$B$11,MATCH($B15,Assign!$F$11:$F$31,0)-1,0),"")</f>
        <v/>
      </c>
      <c r="D15" s="18" t="str">
        <f ca="1">IFERROR(OFFSET(Assign!$C$11,MATCH($B15,Assign!$F$11:$F$31,0)-1,0),"")</f>
        <v/>
      </c>
    </row>
    <row r="16" spans="2:7">
      <c r="B16" s="2">
        <v>15</v>
      </c>
      <c r="C16" s="2" t="str">
        <f ca="1">IFERROR(OFFSET(Assign!$B$11,MATCH($B16,Assign!$F$11:$F$31,0)-1,0),"")</f>
        <v/>
      </c>
      <c r="D16" s="18" t="str">
        <f ca="1">IFERROR(OFFSET(Assign!$C$11,MATCH($B16,Assign!$F$11:$F$31,0)-1,0),"")</f>
        <v/>
      </c>
    </row>
    <row r="17" spans="2:4">
      <c r="B17" s="2">
        <v>16</v>
      </c>
      <c r="C17" s="2" t="str">
        <f ca="1">IFERROR(OFFSET(Assign!$B$11,MATCH($B17,Assign!$F$11:$F$31,0)-1,0),"")</f>
        <v/>
      </c>
      <c r="D17" s="18" t="str">
        <f ca="1">IFERROR(OFFSET(Assign!$C$11,MATCH($B17,Assign!$F$11:$F$31,0)-1,0),"")</f>
        <v/>
      </c>
    </row>
    <row r="18" spans="2:4">
      <c r="B18" s="2">
        <v>17</v>
      </c>
      <c r="C18" s="2" t="str">
        <f ca="1">IFERROR(OFFSET(Assign!$B$11,MATCH($B18,Assign!$F$11:$F$31,0)-1,0),"")</f>
        <v/>
      </c>
      <c r="D18" s="18" t="str">
        <f ca="1">IFERROR(OFFSET(Assign!$C$11,MATCH($B18,Assign!$F$11:$F$31,0)-1,0),"")</f>
        <v/>
      </c>
    </row>
    <row r="19" spans="2:4">
      <c r="B19" s="2">
        <v>18</v>
      </c>
      <c r="C19" s="2" t="str">
        <f ca="1">IFERROR(OFFSET(Assign!$B$11,MATCH($B19,Assign!$F$11:$F$31,0)-1,0),"")</f>
        <v/>
      </c>
      <c r="D19" s="18" t="str">
        <f ca="1">IFERROR(OFFSET(Assign!$C$11,MATCH($B19,Assign!$F$11:$F$31,0)-1,0),"")</f>
        <v/>
      </c>
    </row>
    <row r="20" spans="2:4">
      <c r="B20" s="2">
        <v>19</v>
      </c>
      <c r="C20" s="2" t="str">
        <f ca="1">IFERROR(OFFSET(Assign!$B$11,MATCH($B20,Assign!$F$11:$F$31,0)-1,0),"")</f>
        <v/>
      </c>
      <c r="D20" s="18" t="str">
        <f ca="1">IFERROR(OFFSET(Assign!$C$11,MATCH($B20,Assign!$F$11:$F$31,0)-1,0),"")</f>
        <v/>
      </c>
    </row>
    <row r="21" spans="2:4">
      <c r="B21" s="2">
        <v>20</v>
      </c>
      <c r="C21" s="2" t="str">
        <f ca="1">IFERROR(OFFSET(Assign!$B$11,MATCH($B21,Assign!$F$11:$F$31,0)-1,0),"")</f>
        <v/>
      </c>
      <c r="D21" s="18" t="str">
        <f ca="1">IFERROR(OFFSET(Assign!$C$11,MATCH($B21,Assign!$F$11:$F$31,0)-1,0),"")</f>
        <v/>
      </c>
    </row>
    <row r="22" spans="2:4">
      <c r="B22" s="2">
        <v>21</v>
      </c>
      <c r="C22" s="2" t="str">
        <f ca="1">IFERROR(OFFSET(Assign!$B$11,MATCH($B22,Assign!$F$11:$F$31,0)-1,0),"")</f>
        <v/>
      </c>
      <c r="D22" s="18" t="str">
        <f ca="1">IFERROR(OFFSET(Assign!$C$11,MATCH($B22,Assign!$F$11:$F$31,0)-1,0),"")</f>
        <v/>
      </c>
    </row>
    <row r="23" spans="2:4">
      <c r="B23" s="2">
        <v>22</v>
      </c>
      <c r="C23" s="2" t="str">
        <f ca="1">IFERROR(OFFSET(Assign!$B$11,MATCH($B23,Assign!$F$11:$F$31,0)-1,0),"")</f>
        <v/>
      </c>
      <c r="D23" s="18" t="str">
        <f ca="1">IFERROR(OFFSET(Assign!$C$11,MATCH($B23,Assign!$F$11:$F$31,0)-1,0),"")</f>
        <v/>
      </c>
    </row>
    <row r="24" spans="2:4">
      <c r="B24" s="2">
        <v>23</v>
      </c>
      <c r="C24" s="2" t="str">
        <f ca="1">IFERROR(OFFSET(Assign!$B$11,MATCH($B24,Assign!$F$11:$F$31,0)-1,0),"")</f>
        <v/>
      </c>
      <c r="D24" s="18" t="str">
        <f ca="1">IFERROR(OFFSET(Assign!$C$11,MATCH($B24,Assign!$F$11:$F$31,0)-1,0),"")</f>
        <v/>
      </c>
    </row>
    <row r="25" spans="2:4">
      <c r="B25" s="2">
        <v>24</v>
      </c>
      <c r="C25" s="2" t="str">
        <f ca="1">IFERROR(OFFSET(Assign!$B$11,MATCH($B25,Assign!$F$11:$F$31,0)-1,0),"")</f>
        <v/>
      </c>
      <c r="D25" s="18" t="str">
        <f ca="1">IFERROR(OFFSET(Assign!$C$11,MATCH($B25,Assign!$F$11:$F$31,0)-1,0),"")</f>
        <v/>
      </c>
    </row>
    <row r="26" spans="2:4">
      <c r="B26" s="2">
        <v>25</v>
      </c>
      <c r="C26" s="2" t="str">
        <f ca="1">IFERROR(OFFSET(Assign!$B$11,MATCH($B26,Assign!$F$11:$F$31,0)-1,0),"")</f>
        <v/>
      </c>
      <c r="D26" s="18" t="str">
        <f ca="1">IFERROR(OFFSET(Assign!$C$11,MATCH($B26,Assign!$F$11:$F$31,0)-1,0),"")</f>
        <v/>
      </c>
    </row>
    <row r="27" spans="2:4">
      <c r="B27" s="2">
        <v>26</v>
      </c>
      <c r="C27" s="2" t="str">
        <f ca="1">IFERROR(OFFSET(Assign!$B$11,MATCH($B27,Assign!$F$11:$F$31,0)-1,0),"")</f>
        <v/>
      </c>
      <c r="D27" s="18" t="str">
        <f ca="1">IFERROR(OFFSET(Assign!$C$11,MATCH($B27,Assign!$F$11:$F$31,0)-1,0),"")</f>
        <v/>
      </c>
    </row>
    <row r="28" spans="2:4">
      <c r="B28" s="2">
        <v>27</v>
      </c>
      <c r="C28" s="2" t="str">
        <f ca="1">IFERROR(OFFSET(Assign!$B$11,MATCH($B28,Assign!$F$11:$F$31,0)-1,0),"")</f>
        <v/>
      </c>
      <c r="D28" s="18" t="str">
        <f ca="1">IFERROR(OFFSET(Assign!$C$11,MATCH($B28,Assign!$F$11:$F$31,0)-1,0),"")</f>
        <v/>
      </c>
    </row>
    <row r="29" spans="2:4">
      <c r="B29" s="2">
        <v>28</v>
      </c>
      <c r="C29" s="2" t="str">
        <f ca="1">IFERROR(OFFSET(Assign!$B$11,MATCH($B29,Assign!$F$11:$F$31,0)-1,0),"")</f>
        <v/>
      </c>
      <c r="D29" s="18" t="str">
        <f ca="1">IFERROR(OFFSET(Assign!$C$11,MATCH($B29,Assign!$F$11:$F$31,0)-1,0),"")</f>
        <v/>
      </c>
    </row>
    <row r="30" spans="2:4">
      <c r="B30" s="2">
        <v>29</v>
      </c>
      <c r="C30" s="2" t="str">
        <f ca="1">IFERROR(OFFSET(Assign!$B$11,MATCH($B30,Assign!$F$11:$F$31,0)-1,0),"")</f>
        <v/>
      </c>
      <c r="D30" s="18" t="str">
        <f ca="1">IFERROR(OFFSET(Assign!$C$11,MATCH($B30,Assign!$F$11:$F$31,0)-1,0),"")</f>
        <v/>
      </c>
    </row>
    <row r="31" spans="2:4">
      <c r="B31" s="2">
        <v>30</v>
      </c>
      <c r="C31" s="2" t="str">
        <f ca="1">IFERROR(OFFSET(Assign!$B$11,MATCH($B31,Assign!$F$11:$F$31,0)-1,0),"")</f>
        <v/>
      </c>
      <c r="D31" s="18" t="str">
        <f ca="1">IFERROR(OFFSET(Assign!$C$11,MATCH($B31,Assign!$F$11:$F$31,0)-1,0),"")</f>
        <v/>
      </c>
    </row>
    <row r="32" spans="2:4">
      <c r="B32" s="2">
        <v>31</v>
      </c>
      <c r="C32" s="2" t="str">
        <f ca="1">IFERROR(OFFSET(Assign!$B$11,MATCH($B32,Assign!$F$11:$F$31,0)-1,0),"")</f>
        <v/>
      </c>
      <c r="D32" s="18" t="str">
        <f ca="1">IFERROR(OFFSET(Assign!$C$11,MATCH($B32,Assign!$F$11:$F$31,0)-1,0),"")</f>
        <v/>
      </c>
    </row>
    <row r="33" spans="2:4">
      <c r="B33" s="2">
        <v>32</v>
      </c>
      <c r="C33" s="2" t="str">
        <f ca="1">IFERROR(OFFSET(Assign!$B$11,MATCH($B33,Assign!$F$11:$F$31,0)-1,0),"")</f>
        <v/>
      </c>
      <c r="D33" s="18" t="str">
        <f ca="1">IFERROR(OFFSET(Assign!$C$11,MATCH($B33,Assign!$F$11:$F$31,0)-1,0),"")</f>
        <v/>
      </c>
    </row>
    <row r="34" spans="2:4">
      <c r="B34" s="2">
        <v>33</v>
      </c>
      <c r="C34" s="2" t="str">
        <f ca="1">IFERROR(OFFSET(Assign!$B$11,MATCH($B34,Assign!$F$11:$F$31,0)-1,0),"")</f>
        <v/>
      </c>
      <c r="D34" s="18" t="str">
        <f ca="1">IFERROR(OFFSET(Assign!$C$11,MATCH($B34,Assign!$F$11:$F$31,0)-1,0),"")</f>
        <v/>
      </c>
    </row>
    <row r="35" spans="2:4">
      <c r="B35" s="2">
        <v>34</v>
      </c>
      <c r="C35" s="2" t="str">
        <f ca="1">IFERROR(OFFSET(Assign!$B$11,MATCH($B35,Assign!$F$11:$F$31,0)-1,0),"")</f>
        <v/>
      </c>
      <c r="D35" s="18" t="str">
        <f ca="1">IFERROR(OFFSET(Assign!$C$11,MATCH($B35,Assign!$F$11:$F$31,0)-1,0),"")</f>
        <v/>
      </c>
    </row>
    <row r="36" spans="2:4">
      <c r="B36" s="2">
        <v>35</v>
      </c>
      <c r="C36" s="2" t="str">
        <f ca="1">IFERROR(OFFSET(Assign!$B$11,MATCH($B36,Assign!$F$11:$F$31,0)-1,0),"")</f>
        <v/>
      </c>
      <c r="D36" s="18" t="str">
        <f ca="1">IFERROR(OFFSET(Assign!$C$11,MATCH($B36,Assign!$F$11:$F$31,0)-1,0),"")</f>
        <v/>
      </c>
    </row>
    <row r="37" spans="2:4">
      <c r="B37" s="2">
        <v>36</v>
      </c>
      <c r="C37" s="2" t="str">
        <f ca="1">IFERROR(OFFSET(Assign!$B$11,MATCH($B37,Assign!$F$11:$F$31,0)-1,0),"")</f>
        <v/>
      </c>
      <c r="D37" s="18" t="str">
        <f ca="1">IFERROR(OFFSET(Assign!$C$11,MATCH($B37,Assign!$F$11:$F$31,0)-1,0),"")</f>
        <v/>
      </c>
    </row>
    <row r="38" spans="2:4">
      <c r="B38" s="2">
        <v>37</v>
      </c>
      <c r="C38" s="2" t="str">
        <f ca="1">IFERROR(OFFSET(Assign!$B$11,MATCH($B38,Assign!$F$11:$F$31,0)-1,0),"")</f>
        <v/>
      </c>
      <c r="D38" s="18" t="str">
        <f ca="1">IFERROR(OFFSET(Assign!$C$11,MATCH($B38,Assign!$F$11:$F$31,0)-1,0),"")</f>
        <v/>
      </c>
    </row>
    <row r="39" spans="2:4">
      <c r="B39" s="2">
        <v>38</v>
      </c>
      <c r="C39" s="2" t="str">
        <f ca="1">IFERROR(OFFSET(Assign!$B$11,MATCH($B39,Assign!$F$11:$F$31,0)-1,0),"")</f>
        <v/>
      </c>
      <c r="D39" s="18" t="str">
        <f ca="1">IFERROR(OFFSET(Assign!$C$11,MATCH($B39,Assign!$F$11:$F$31,0)-1,0),"")</f>
        <v/>
      </c>
    </row>
    <row r="40" spans="2:4">
      <c r="B40" s="2">
        <v>39</v>
      </c>
      <c r="C40" s="2" t="str">
        <f ca="1">IFERROR(OFFSET(Assign!$B$11,MATCH($B40,Assign!$F$11:$F$31,0)-1,0),"")</f>
        <v/>
      </c>
      <c r="D40" s="18" t="str">
        <f ca="1">IFERROR(OFFSET(Assign!$C$11,MATCH($B40,Assign!$F$11:$F$31,0)-1,0),"")</f>
        <v/>
      </c>
    </row>
    <row r="41" spans="2:4">
      <c r="B41" s="2">
        <v>40</v>
      </c>
      <c r="C41" s="2" t="str">
        <f ca="1">IFERROR(OFFSET(Assign!$B$11,MATCH($B41,Assign!$F$11:$F$31,0)-1,0),"")</f>
        <v/>
      </c>
      <c r="D41" s="18" t="str">
        <f ca="1">IFERROR(OFFSET(Assign!$C$11,MATCH($B41,Assign!$F$11:$F$31,0)-1,0),"")</f>
        <v/>
      </c>
    </row>
    <row r="42" spans="2:4">
      <c r="B42" s="2">
        <v>41</v>
      </c>
      <c r="C42" s="2" t="str">
        <f ca="1">IFERROR(OFFSET(Assign!$B$11,MATCH($B42,Assign!$F$11:$F$31,0)-1,0),"")</f>
        <v/>
      </c>
      <c r="D42" s="18" t="str">
        <f ca="1">IFERROR(OFFSET(Assign!$C$11,MATCH($B42,Assign!$F$11:$F$31,0)-1,0),"")</f>
        <v/>
      </c>
    </row>
    <row r="43" spans="2:4">
      <c r="B43" s="2">
        <v>42</v>
      </c>
      <c r="C43" s="2" t="str">
        <f ca="1">IFERROR(OFFSET(Assign!$B$11,MATCH($B43,Assign!$F$11:$F$31,0)-1,0),"")</f>
        <v/>
      </c>
      <c r="D43" s="18" t="str">
        <f ca="1">IFERROR(OFFSET(Assign!$C$11,MATCH($B43,Assign!$F$11:$F$31,0)-1,0),"")</f>
        <v/>
      </c>
    </row>
    <row r="44" spans="2:4">
      <c r="B44" s="2">
        <v>43</v>
      </c>
      <c r="C44" s="2" t="str">
        <f ca="1">IFERROR(OFFSET(Assign!$B$11,MATCH($B44,Assign!$F$11:$F$31,0)-1,0),"")</f>
        <v/>
      </c>
      <c r="D44" s="18" t="str">
        <f ca="1">IFERROR(OFFSET(Assign!$C$11,MATCH($B44,Assign!$F$11:$F$31,0)-1,0),"")</f>
        <v/>
      </c>
    </row>
    <row r="45" spans="2:4">
      <c r="B45" s="2">
        <v>44</v>
      </c>
      <c r="C45" s="2" t="str">
        <f ca="1">IFERROR(OFFSET(Assign!$B$11,MATCH($B45,Assign!$F$11:$F$31,0)-1,0),"")</f>
        <v/>
      </c>
      <c r="D45" s="18" t="str">
        <f ca="1">IFERROR(OFFSET(Assign!$C$11,MATCH($B45,Assign!$F$11:$F$31,0)-1,0),"")</f>
        <v/>
      </c>
    </row>
    <row r="46" spans="2:4">
      <c r="B46" s="2">
        <v>45</v>
      </c>
      <c r="C46" s="2" t="str">
        <f ca="1">IFERROR(OFFSET(Assign!$B$11,MATCH($B46,Assign!$F$11:$F$31,0)-1,0),"")</f>
        <v/>
      </c>
      <c r="D46" s="18" t="str">
        <f ca="1">IFERROR(OFFSET(Assign!$C$11,MATCH($B46,Assign!$F$11:$F$31,0)-1,0),"")</f>
        <v/>
      </c>
    </row>
    <row r="47" spans="2:4">
      <c r="B47" s="2">
        <v>46</v>
      </c>
      <c r="C47" s="2" t="str">
        <f ca="1">IFERROR(OFFSET(Assign!$B$11,MATCH($B47,Assign!$F$11:$F$31,0)-1,0),"")</f>
        <v/>
      </c>
      <c r="D47" s="18" t="str">
        <f ca="1">IFERROR(OFFSET(Assign!$C$11,MATCH($B47,Assign!$F$11:$F$31,0)-1,0),"")</f>
        <v/>
      </c>
    </row>
    <row r="48" spans="2:4">
      <c r="B48" s="2">
        <v>47</v>
      </c>
      <c r="C48" s="2" t="str">
        <f ca="1">IFERROR(OFFSET(Assign!$B$11,MATCH($B48,Assign!$F$11:$F$31,0)-1,0),"")</f>
        <v/>
      </c>
      <c r="D48" s="18" t="str">
        <f ca="1">IFERROR(OFFSET(Assign!$C$11,MATCH($B48,Assign!$F$11:$F$31,0)-1,0),"")</f>
        <v/>
      </c>
    </row>
    <row r="49" spans="2:4">
      <c r="B49" s="2">
        <v>48</v>
      </c>
      <c r="C49" s="2" t="str">
        <f ca="1">IFERROR(OFFSET(Assign!$B$11,MATCH($B49,Assign!$F$11:$F$31,0)-1,0),"")</f>
        <v/>
      </c>
      <c r="D49" s="18" t="str">
        <f ca="1">IFERROR(OFFSET(Assign!$C$11,MATCH($B49,Assign!$F$11:$F$31,0)-1,0),"")</f>
        <v/>
      </c>
    </row>
    <row r="50" spans="2:4">
      <c r="B50" s="2">
        <v>49</v>
      </c>
      <c r="C50" s="2" t="str">
        <f ca="1">IFERROR(OFFSET(Assign!$B$11,MATCH($B50,Assign!$F$11:$F$31,0)-1,0),"")</f>
        <v/>
      </c>
      <c r="D50" s="18" t="str">
        <f ca="1">IFERROR(OFFSET(Assign!$C$11,MATCH($B50,Assign!$F$11:$F$31,0)-1,0),"")</f>
        <v/>
      </c>
    </row>
    <row r="51" spans="2:4">
      <c r="B51" s="2">
        <v>50</v>
      </c>
      <c r="C51" s="2" t="str">
        <f ca="1">IFERROR(OFFSET(Assign!$B$11,MATCH($B51,Assign!$F$11:$F$31,0)-1,0),"")</f>
        <v/>
      </c>
      <c r="D51" s="18" t="str">
        <f ca="1">IFERROR(OFFSET(Assign!$C$11,MATCH($B51,Assign!$F$11:$F$31,0)-1,0),"")</f>
        <v/>
      </c>
    </row>
    <row r="52" spans="2:4">
      <c r="B52" s="2">
        <v>51</v>
      </c>
      <c r="C52" s="2" t="str">
        <f ca="1">IFERROR(OFFSET(Assign!$B$11,MATCH($B52,Assign!$F$11:$F$31,0)-1,0),"")</f>
        <v/>
      </c>
      <c r="D52" s="18" t="str">
        <f ca="1">IFERROR(OFFSET(Assign!$C$11,MATCH($B52,Assign!$F$11:$F$31,0)-1,0),"")</f>
        <v/>
      </c>
    </row>
    <row r="53" spans="2:4">
      <c r="B53" s="2">
        <v>52</v>
      </c>
      <c r="C53" s="2" t="str">
        <f ca="1">IFERROR(OFFSET(Assign!$B$11,MATCH($B53,Assign!$F$11:$F$31,0)-1,0),"")</f>
        <v/>
      </c>
      <c r="D53" s="18" t="str">
        <f ca="1">IFERROR(OFFSET(Assign!$C$11,MATCH($B53,Assign!$F$11:$F$31,0)-1,0),"")</f>
        <v/>
      </c>
    </row>
    <row r="54" spans="2:4">
      <c r="B54" s="2">
        <v>53</v>
      </c>
      <c r="C54" s="2" t="str">
        <f ca="1">IFERROR(OFFSET(Assign!$B$11,MATCH($B54,Assign!$F$11:$F$31,0)-1,0),"")</f>
        <v/>
      </c>
      <c r="D54" s="18" t="str">
        <f ca="1">IFERROR(OFFSET(Assign!$C$11,MATCH($B54,Assign!$F$11:$F$31,0)-1,0),"")</f>
        <v/>
      </c>
    </row>
    <row r="55" spans="2:4">
      <c r="B55" s="2">
        <v>54</v>
      </c>
      <c r="C55" s="2" t="str">
        <f ca="1">IFERROR(OFFSET(Assign!$B$11,MATCH($B55,Assign!$F$11:$F$31,0)-1,0),"")</f>
        <v/>
      </c>
      <c r="D55" s="18" t="str">
        <f ca="1">IFERROR(OFFSET(Assign!$C$11,MATCH($B55,Assign!$F$11:$F$31,0)-1,0),"")</f>
        <v/>
      </c>
    </row>
    <row r="56" spans="2:4">
      <c r="B56" s="2">
        <v>55</v>
      </c>
      <c r="C56" s="2" t="str">
        <f ca="1">IFERROR(OFFSET(Assign!$B$11,MATCH($B56,Assign!$F$11:$F$31,0)-1,0),"")</f>
        <v/>
      </c>
      <c r="D56" s="18" t="str">
        <f ca="1">IFERROR(OFFSET(Assign!$C$11,MATCH($B56,Assign!$F$11:$F$31,0)-1,0),"")</f>
        <v/>
      </c>
    </row>
    <row r="57" spans="2:4">
      <c r="B57" s="2">
        <v>56</v>
      </c>
      <c r="C57" s="2" t="str">
        <f ca="1">IFERROR(OFFSET(Assign!$B$11,MATCH($B57,Assign!$F$11:$F$31,0)-1,0),"")</f>
        <v/>
      </c>
      <c r="D57" s="18" t="str">
        <f ca="1">IFERROR(OFFSET(Assign!$C$11,MATCH($B57,Assign!$F$11:$F$31,0)-1,0),"")</f>
        <v/>
      </c>
    </row>
    <row r="58" spans="2:4">
      <c r="B58" s="2">
        <v>57</v>
      </c>
      <c r="C58" s="2" t="str">
        <f ca="1">IFERROR(OFFSET(Assign!$B$11,MATCH($B58,Assign!$F$11:$F$31,0)-1,0),"")</f>
        <v/>
      </c>
      <c r="D58" s="18" t="str">
        <f ca="1">IFERROR(OFFSET(Assign!$C$11,MATCH($B58,Assign!$F$11:$F$31,0)-1,0),"")</f>
        <v/>
      </c>
    </row>
    <row r="59" spans="2:4">
      <c r="B59" s="2">
        <v>58</v>
      </c>
      <c r="C59" s="2" t="str">
        <f ca="1">IFERROR(OFFSET(Assign!$B$11,MATCH($B59,Assign!$F$11:$F$31,0)-1,0),"")</f>
        <v/>
      </c>
      <c r="D59" s="18" t="str">
        <f ca="1">IFERROR(OFFSET(Assign!$C$11,MATCH($B59,Assign!$F$11:$F$31,0)-1,0),"")</f>
        <v/>
      </c>
    </row>
    <row r="60" spans="2:4">
      <c r="B60" s="2">
        <v>59</v>
      </c>
      <c r="C60" s="2" t="str">
        <f ca="1">IFERROR(OFFSET(Assign!$B$11,MATCH($B60,Assign!$F$11:$F$31,0)-1,0),"")</f>
        <v/>
      </c>
      <c r="D60" s="18" t="str">
        <f ca="1">IFERROR(OFFSET(Assign!$C$11,MATCH($B60,Assign!$F$11:$F$31,0)-1,0),"")</f>
        <v/>
      </c>
    </row>
    <row r="61" spans="2:4">
      <c r="B61" s="2">
        <v>60</v>
      </c>
      <c r="C61" s="2" t="str">
        <f ca="1">IFERROR(OFFSET(Assign!$B$11,MATCH($B61,Assign!$F$11:$F$31,0)-1,0),"")</f>
        <v/>
      </c>
      <c r="D61" s="18" t="str">
        <f ca="1">IFERROR(OFFSET(Assign!$C$11,MATCH($B61,Assign!$F$11:$F$31,0)-1,0),"")</f>
        <v/>
      </c>
    </row>
    <row r="62" spans="2:4">
      <c r="B62" s="2">
        <v>61</v>
      </c>
      <c r="C62" s="2" t="str">
        <f ca="1">IFERROR(OFFSET(Assign!$B$11,MATCH($B62,Assign!$F$11:$F$31,0)-1,0),"")</f>
        <v/>
      </c>
      <c r="D62" s="18" t="str">
        <f ca="1">IFERROR(OFFSET(Assign!$C$11,MATCH($B62,Assign!$F$11:$F$31,0)-1,0),"")</f>
        <v/>
      </c>
    </row>
    <row r="63" spans="2:4">
      <c r="B63" s="2">
        <v>62</v>
      </c>
      <c r="C63" s="2" t="str">
        <f ca="1">IFERROR(OFFSET(Assign!$B$11,MATCH($B63,Assign!$F$11:$F$31,0)-1,0),"")</f>
        <v/>
      </c>
      <c r="D63" s="18" t="str">
        <f ca="1">IFERROR(OFFSET(Assign!$C$11,MATCH($B63,Assign!$F$11:$F$31,0)-1,0),"")</f>
        <v/>
      </c>
    </row>
    <row r="64" spans="2:4">
      <c r="B64" s="2">
        <v>63</v>
      </c>
      <c r="C64" s="2" t="str">
        <f ca="1">IFERROR(OFFSET(Assign!$B$11,MATCH($B64,Assign!$F$11:$F$31,0)-1,0),"")</f>
        <v/>
      </c>
      <c r="D64" s="18" t="str">
        <f ca="1">IFERROR(OFFSET(Assign!$C$11,MATCH($B64,Assign!$F$11:$F$31,0)-1,0),"")</f>
        <v/>
      </c>
    </row>
    <row r="65" spans="2:4">
      <c r="B65" s="2">
        <v>64</v>
      </c>
      <c r="C65" s="2" t="str">
        <f ca="1">IFERROR(OFFSET(Assign!$B$11,MATCH($B65,Assign!$F$11:$F$31,0)-1,0),"")</f>
        <v/>
      </c>
      <c r="D65" s="18" t="str">
        <f ca="1">IFERROR(OFFSET(Assign!$C$11,MATCH($B65,Assign!$F$11:$F$31,0)-1,0),"")</f>
        <v/>
      </c>
    </row>
    <row r="66" spans="2:4">
      <c r="B66" s="2">
        <v>65</v>
      </c>
      <c r="C66" s="2" t="str">
        <f ca="1">IFERROR(OFFSET(Assign!$B$11,MATCH($B66,Assign!$F$11:$F$31,0)-1,0),"")</f>
        <v/>
      </c>
      <c r="D66" s="18" t="str">
        <f ca="1">IFERROR(OFFSET(Assign!$C$11,MATCH($B66,Assign!$F$11:$F$31,0)-1,0),"")</f>
        <v/>
      </c>
    </row>
    <row r="67" spans="2:4">
      <c r="B67" s="2">
        <v>66</v>
      </c>
      <c r="C67" s="2" t="str">
        <f ca="1">IFERROR(OFFSET(Assign!$B$11,MATCH($B67,Assign!$F$11:$F$31,0)-1,0),"")</f>
        <v/>
      </c>
      <c r="D67" s="18" t="str">
        <f ca="1">IFERROR(OFFSET(Assign!$C$11,MATCH($B67,Assign!$F$11:$F$31,0)-1,0),"")</f>
        <v/>
      </c>
    </row>
    <row r="68" spans="2:4">
      <c r="B68" s="2">
        <v>67</v>
      </c>
      <c r="C68" s="2" t="str">
        <f ca="1">IFERROR(OFFSET(Assign!$B$11,MATCH($B68,Assign!$F$11:$F$31,0)-1,0),"")</f>
        <v/>
      </c>
      <c r="D68" s="18" t="str">
        <f ca="1">IFERROR(OFFSET(Assign!$C$11,MATCH($B68,Assign!$F$11:$F$31,0)-1,0),"")</f>
        <v/>
      </c>
    </row>
    <row r="69" spans="2:4">
      <c r="B69" s="2">
        <v>68</v>
      </c>
      <c r="C69" s="2" t="str">
        <f ca="1">IFERROR(OFFSET(Assign!$B$11,MATCH($B69,Assign!$F$11:$F$31,0)-1,0),"")</f>
        <v/>
      </c>
      <c r="D69" s="18" t="str">
        <f ca="1">IFERROR(OFFSET(Assign!$C$11,MATCH($B69,Assign!$F$11:$F$31,0)-1,0),"")</f>
        <v/>
      </c>
    </row>
    <row r="70" spans="2:4">
      <c r="B70" s="2">
        <v>69</v>
      </c>
      <c r="C70" s="2" t="str">
        <f ca="1">IFERROR(OFFSET(Assign!$B$11,MATCH($B70,Assign!$F$11:$F$31,0)-1,0),"")</f>
        <v/>
      </c>
      <c r="D70" s="18" t="str">
        <f ca="1">IFERROR(OFFSET(Assign!$C$11,MATCH($B70,Assign!$F$11:$F$31,0)-1,0),"")</f>
        <v/>
      </c>
    </row>
    <row r="71" spans="2:4">
      <c r="B71" s="2">
        <v>70</v>
      </c>
      <c r="C71" s="2" t="str">
        <f ca="1">IFERROR(OFFSET(Assign!$B$11,MATCH($B71,Assign!$F$11:$F$31,0)-1,0),"")</f>
        <v/>
      </c>
      <c r="D71" s="18" t="str">
        <f ca="1">IFERROR(OFFSET(Assign!$C$11,MATCH($B71,Assign!$F$11:$F$31,0)-1,0),"")</f>
        <v/>
      </c>
    </row>
    <row r="72" spans="2:4">
      <c r="B72" s="2">
        <v>71</v>
      </c>
      <c r="C72" s="2" t="str">
        <f ca="1">IFERROR(OFFSET(Assign!$B$11,MATCH($B72,Assign!$F$11:$F$31,0)-1,0),"")</f>
        <v/>
      </c>
      <c r="D72" s="18" t="str">
        <f ca="1">IFERROR(OFFSET(Assign!$C$11,MATCH($B72,Assign!$F$11:$F$31,0)-1,0),"")</f>
        <v/>
      </c>
    </row>
    <row r="73" spans="2:4">
      <c r="B73" s="2">
        <v>72</v>
      </c>
      <c r="C73" s="2" t="str">
        <f ca="1">IFERROR(OFFSET(Assign!$B$11,MATCH($B73,Assign!$F$11:$F$31,0)-1,0),"")</f>
        <v/>
      </c>
      <c r="D73" s="18" t="str">
        <f ca="1">IFERROR(OFFSET(Assign!$C$11,MATCH($B73,Assign!$F$11:$F$31,0)-1,0),"")</f>
        <v/>
      </c>
    </row>
    <row r="74" spans="2:4">
      <c r="B74" s="2">
        <v>73</v>
      </c>
      <c r="C74" s="2" t="str">
        <f ca="1">IFERROR(OFFSET(Assign!$B$11,MATCH($B74,Assign!$F$11:$F$31,0)-1,0),"")</f>
        <v/>
      </c>
      <c r="D74" s="18" t="str">
        <f ca="1">IFERROR(OFFSET(Assign!$C$11,MATCH($B74,Assign!$F$11:$F$31,0)-1,0),"")</f>
        <v/>
      </c>
    </row>
    <row r="75" spans="2:4">
      <c r="B75" s="2">
        <v>74</v>
      </c>
      <c r="C75" s="2" t="str">
        <f ca="1">IFERROR(OFFSET(Assign!$B$11,MATCH($B75,Assign!$F$11:$F$31,0)-1,0),"")</f>
        <v/>
      </c>
      <c r="D75" s="18" t="str">
        <f ca="1">IFERROR(OFFSET(Assign!$C$11,MATCH($B75,Assign!$F$11:$F$31,0)-1,0),"")</f>
        <v/>
      </c>
    </row>
    <row r="76" spans="2:4">
      <c r="B76" s="2">
        <v>75</v>
      </c>
      <c r="C76" s="2" t="str">
        <f ca="1">IFERROR(OFFSET(Assign!$B$11,MATCH($B76,Assign!$F$11:$F$31,0)-1,0),"")</f>
        <v/>
      </c>
      <c r="D76" s="18" t="str">
        <f ca="1">IFERROR(OFFSET(Assign!$C$11,MATCH($B76,Assign!$F$11:$F$31,0)-1,0),"")</f>
        <v/>
      </c>
    </row>
    <row r="77" spans="2:4">
      <c r="B77" s="2">
        <v>76</v>
      </c>
      <c r="C77" s="2" t="str">
        <f ca="1">IFERROR(OFFSET(Assign!$B$11,MATCH($B77,Assign!$F$11:$F$31,0)-1,0),"")</f>
        <v/>
      </c>
      <c r="D77" s="18" t="str">
        <f ca="1">IFERROR(OFFSET(Assign!$C$11,MATCH($B77,Assign!$F$11:$F$31,0)-1,0),"")</f>
        <v/>
      </c>
    </row>
    <row r="78" spans="2:4">
      <c r="B78" s="2">
        <v>77</v>
      </c>
      <c r="C78" s="2" t="str">
        <f ca="1">IFERROR(OFFSET(Assign!$B$11,MATCH($B78,Assign!$F$11:$F$31,0)-1,0),"")</f>
        <v/>
      </c>
      <c r="D78" s="18" t="str">
        <f ca="1">IFERROR(OFFSET(Assign!$C$11,MATCH($B78,Assign!$F$11:$F$31,0)-1,0),"")</f>
        <v/>
      </c>
    </row>
    <row r="79" spans="2:4">
      <c r="B79" s="2">
        <v>78</v>
      </c>
      <c r="C79" s="2" t="str">
        <f ca="1">IFERROR(OFFSET(Assign!$B$11,MATCH($B79,Assign!$F$11:$F$31,0)-1,0),"")</f>
        <v/>
      </c>
      <c r="D79" s="18" t="str">
        <f ca="1">IFERROR(OFFSET(Assign!$C$11,MATCH($B79,Assign!$F$11:$F$31,0)-1,0),"")</f>
        <v/>
      </c>
    </row>
    <row r="80" spans="2:4">
      <c r="B80" s="2">
        <v>79</v>
      </c>
      <c r="C80" s="2" t="str">
        <f ca="1">IFERROR(OFFSET(Assign!$B$11,MATCH($B80,Assign!$F$11:$F$31,0)-1,0),"")</f>
        <v/>
      </c>
      <c r="D80" s="18" t="str">
        <f ca="1">IFERROR(OFFSET(Assign!$C$11,MATCH($B80,Assign!$F$11:$F$31,0)-1,0),"")</f>
        <v/>
      </c>
    </row>
    <row r="81" spans="2:4">
      <c r="B81" s="2">
        <v>80</v>
      </c>
      <c r="C81" s="2" t="str">
        <f ca="1">IFERROR(OFFSET(Assign!$B$11,MATCH($B81,Assign!$F$11:$F$31,0)-1,0),"")</f>
        <v/>
      </c>
      <c r="D81" s="18" t="str">
        <f ca="1">IFERROR(OFFSET(Assign!$C$11,MATCH($B81,Assign!$F$11:$F$31,0)-1,0),"")</f>
        <v/>
      </c>
    </row>
    <row r="82" spans="2:4">
      <c r="B82" s="2">
        <v>81</v>
      </c>
      <c r="C82" s="2" t="str">
        <f ca="1">IFERROR(OFFSET(Assign!$B$11,MATCH($B82,Assign!$F$11:$F$31,0)-1,0),"")</f>
        <v/>
      </c>
      <c r="D82" s="18" t="str">
        <f ca="1">IFERROR(OFFSET(Assign!$C$11,MATCH($B82,Assign!$F$11:$F$31,0)-1,0),"")</f>
        <v/>
      </c>
    </row>
    <row r="83" spans="2:4">
      <c r="B83" s="2">
        <v>82</v>
      </c>
      <c r="C83" s="2" t="str">
        <f ca="1">IFERROR(OFFSET(Assign!$B$11,MATCH($B83,Assign!$F$11:$F$31,0)-1,0),"")</f>
        <v/>
      </c>
      <c r="D83" s="18" t="str">
        <f ca="1">IFERROR(OFFSET(Assign!$C$11,MATCH($B83,Assign!$F$11:$F$31,0)-1,0),"")</f>
        <v/>
      </c>
    </row>
    <row r="84" spans="2:4">
      <c r="B84" s="2">
        <v>83</v>
      </c>
      <c r="C84" s="2" t="str">
        <f ca="1">IFERROR(OFFSET(Assign!$B$11,MATCH($B84,Assign!$F$11:$F$31,0)-1,0),"")</f>
        <v/>
      </c>
      <c r="D84" s="18" t="str">
        <f ca="1">IFERROR(OFFSET(Assign!$C$11,MATCH($B84,Assign!$F$11:$F$31,0)-1,0),"")</f>
        <v/>
      </c>
    </row>
    <row r="85" spans="2:4">
      <c r="B85" s="2">
        <v>84</v>
      </c>
      <c r="C85" s="2" t="str">
        <f ca="1">IFERROR(OFFSET(Assign!$B$11,MATCH($B85,Assign!$F$11:$F$31,0)-1,0),"")</f>
        <v/>
      </c>
      <c r="D85" s="18" t="str">
        <f ca="1">IFERROR(OFFSET(Assign!$C$11,MATCH($B85,Assign!$F$11:$F$31,0)-1,0),"")</f>
        <v/>
      </c>
    </row>
    <row r="86" spans="2:4">
      <c r="B86" s="2">
        <v>85</v>
      </c>
      <c r="C86" s="2" t="str">
        <f ca="1">IFERROR(OFFSET(Assign!$B$11,MATCH($B86,Assign!$F$11:$F$31,0)-1,0),"")</f>
        <v/>
      </c>
      <c r="D86" s="18" t="str">
        <f ca="1">IFERROR(OFFSET(Assign!$C$11,MATCH($B86,Assign!$F$11:$F$31,0)-1,0),"")</f>
        <v/>
      </c>
    </row>
    <row r="87" spans="2:4">
      <c r="B87" s="2">
        <v>86</v>
      </c>
      <c r="C87" s="2" t="str">
        <f ca="1">IFERROR(OFFSET(Assign!$B$11,MATCH($B87,Assign!$F$11:$F$31,0)-1,0),"")</f>
        <v/>
      </c>
      <c r="D87" s="18" t="str">
        <f ca="1">IFERROR(OFFSET(Assign!$C$11,MATCH($B87,Assign!$F$11:$F$31,0)-1,0),"")</f>
        <v/>
      </c>
    </row>
    <row r="88" spans="2:4">
      <c r="B88" s="2">
        <v>87</v>
      </c>
      <c r="C88" s="2" t="str">
        <f ca="1">IFERROR(OFFSET(Assign!$B$11,MATCH($B88,Assign!$F$11:$F$31,0)-1,0),"")</f>
        <v/>
      </c>
      <c r="D88" s="18" t="str">
        <f ca="1">IFERROR(OFFSET(Assign!$C$11,MATCH($B88,Assign!$F$11:$F$31,0)-1,0),"")</f>
        <v/>
      </c>
    </row>
    <row r="89" spans="2:4">
      <c r="B89" s="2">
        <v>88</v>
      </c>
      <c r="C89" s="2" t="str">
        <f ca="1">IFERROR(OFFSET(Assign!$B$11,MATCH($B89,Assign!$F$11:$F$31,0)-1,0),"")</f>
        <v/>
      </c>
      <c r="D89" s="18" t="str">
        <f ca="1">IFERROR(OFFSET(Assign!$C$11,MATCH($B89,Assign!$F$11:$F$31,0)-1,0),"")</f>
        <v/>
      </c>
    </row>
    <row r="90" spans="2:4">
      <c r="B90" s="2">
        <v>89</v>
      </c>
      <c r="C90" s="2" t="str">
        <f ca="1">IFERROR(OFFSET(Assign!$B$11,MATCH($B90,Assign!$F$11:$F$31,0)-1,0),"")</f>
        <v/>
      </c>
      <c r="D90" s="18" t="str">
        <f ca="1">IFERROR(OFFSET(Assign!$C$11,MATCH($B90,Assign!$F$11:$F$31,0)-1,0),"")</f>
        <v/>
      </c>
    </row>
    <row r="91" spans="2:4">
      <c r="B91" s="2">
        <v>90</v>
      </c>
      <c r="C91" s="2" t="str">
        <f ca="1">IFERROR(OFFSET(Assign!$B$11,MATCH($B91,Assign!$F$11:$F$31,0)-1,0),"")</f>
        <v/>
      </c>
      <c r="D91" s="18" t="str">
        <f ca="1">IFERROR(OFFSET(Assign!$C$11,MATCH($B91,Assign!$F$11:$F$31,0)-1,0),"")</f>
        <v/>
      </c>
    </row>
    <row r="92" spans="2:4">
      <c r="B92" s="2">
        <v>91</v>
      </c>
      <c r="C92" s="2" t="str">
        <f ca="1">IFERROR(OFFSET(Assign!$B$11,MATCH($B92,Assign!$F$11:$F$31,0)-1,0),"")</f>
        <v/>
      </c>
      <c r="D92" s="18" t="str">
        <f ca="1">IFERROR(OFFSET(Assign!$C$11,MATCH($B92,Assign!$F$11:$F$31,0)-1,0),"")</f>
        <v/>
      </c>
    </row>
    <row r="93" spans="2:4">
      <c r="B93" s="2">
        <v>92</v>
      </c>
      <c r="C93" s="2" t="str">
        <f ca="1">IFERROR(OFFSET(Assign!$B$11,MATCH($B93,Assign!$F$11:$F$31,0)-1,0),"")</f>
        <v/>
      </c>
      <c r="D93" s="18" t="str">
        <f ca="1">IFERROR(OFFSET(Assign!$C$11,MATCH($B93,Assign!$F$11:$F$31,0)-1,0),"")</f>
        <v/>
      </c>
    </row>
    <row r="94" spans="2:4">
      <c r="B94" s="2">
        <v>93</v>
      </c>
      <c r="C94" s="2" t="str">
        <f ca="1">IFERROR(OFFSET(Assign!$B$11,MATCH($B94,Assign!$F$11:$F$31,0)-1,0),"")</f>
        <v/>
      </c>
      <c r="D94" s="18" t="str">
        <f ca="1">IFERROR(OFFSET(Assign!$C$11,MATCH($B94,Assign!$F$11:$F$31,0)-1,0),"")</f>
        <v/>
      </c>
    </row>
    <row r="95" spans="2:4">
      <c r="B95" s="2">
        <v>94</v>
      </c>
      <c r="C95" s="2" t="str">
        <f ca="1">IFERROR(OFFSET(Assign!$B$11,MATCH($B95,Assign!$F$11:$F$31,0)-1,0),"")</f>
        <v/>
      </c>
      <c r="D95" s="18" t="str">
        <f ca="1">IFERROR(OFFSET(Assign!$C$11,MATCH($B95,Assign!$F$11:$F$31,0)-1,0),"")</f>
        <v/>
      </c>
    </row>
    <row r="96" spans="2:4">
      <c r="B96" s="2">
        <v>95</v>
      </c>
      <c r="C96" s="2" t="str">
        <f ca="1">IFERROR(OFFSET(Assign!$B$11,MATCH($B96,Assign!$F$11:$F$31,0)-1,0),"")</f>
        <v/>
      </c>
      <c r="D96" s="18" t="str">
        <f ca="1">IFERROR(OFFSET(Assign!$C$11,MATCH($B96,Assign!$F$11:$F$31,0)-1,0),"")</f>
        <v/>
      </c>
    </row>
    <row r="97" spans="2:4">
      <c r="B97" s="2">
        <v>96</v>
      </c>
      <c r="C97" s="2" t="str">
        <f ca="1">IFERROR(OFFSET(Assign!$B$11,MATCH($B97,Assign!$F$11:$F$31,0)-1,0),"")</f>
        <v/>
      </c>
      <c r="D97" s="18" t="str">
        <f ca="1">IFERROR(OFFSET(Assign!$C$11,MATCH($B97,Assign!$F$11:$F$31,0)-1,0),"")</f>
        <v/>
      </c>
    </row>
    <row r="98" spans="2:4">
      <c r="B98" s="2">
        <v>97</v>
      </c>
      <c r="C98" s="2" t="str">
        <f ca="1">IFERROR(OFFSET(Assign!$B$11,MATCH($B98,Assign!$F$11:$F$31,0)-1,0),"")</f>
        <v/>
      </c>
      <c r="D98" s="18" t="str">
        <f ca="1">IFERROR(OFFSET(Assign!$C$11,MATCH($B98,Assign!$F$11:$F$31,0)-1,0),"")</f>
        <v/>
      </c>
    </row>
    <row r="99" spans="2:4">
      <c r="B99" s="2">
        <v>98</v>
      </c>
      <c r="C99" s="2" t="str">
        <f ca="1">IFERROR(OFFSET(Assign!$B$11,MATCH($B99,Assign!$F$11:$F$31,0)-1,0),"")</f>
        <v/>
      </c>
      <c r="D99" s="18" t="str">
        <f ca="1">IFERROR(OFFSET(Assign!$C$11,MATCH($B99,Assign!$F$11:$F$31,0)-1,0),"")</f>
        <v/>
      </c>
    </row>
    <row r="100" spans="2:4">
      <c r="B100" s="2">
        <v>99</v>
      </c>
      <c r="C100" s="2" t="str">
        <f ca="1">IFERROR(OFFSET(Assign!$B$11,MATCH($B100,Assign!$F$11:$F$31,0)-1,0),"")</f>
        <v/>
      </c>
      <c r="D100" s="18" t="str">
        <f ca="1">IFERROR(OFFSET(Assign!$C$11,MATCH($B100,Assign!$F$11:$F$31,0)-1,0),"")</f>
        <v/>
      </c>
    </row>
    <row r="101" spans="2:4">
      <c r="B101" s="2">
        <v>100</v>
      </c>
      <c r="C101" s="2" t="str">
        <f ca="1">IFERROR(OFFSET(Assign!$B$11,MATCH($B101,Assign!$F$11:$F$31,0)-1,0),"")</f>
        <v/>
      </c>
      <c r="D101" s="18" t="str">
        <f ca="1">IFERROR(OFFSET(Assign!$C$11,MATCH($B101,Assign!$F$11:$F$31,0)-1,0),"")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E19" sqref="E19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20.625" style="2" customWidth="1"/>
    <col min="6" max="6" width="10.25" style="2" customWidth="1"/>
    <col min="7" max="7" width="45.625" style="18" customWidth="1"/>
    <col min="8" max="16384" width="9" style="2"/>
  </cols>
  <sheetData>
    <row r="1" spans="2:7">
      <c r="B1" s="2" t="s">
        <v>79</v>
      </c>
      <c r="C1" s="2" t="s">
        <v>84</v>
      </c>
      <c r="D1" s="18" t="s">
        <v>25</v>
      </c>
      <c r="E1" s="2" t="s">
        <v>83</v>
      </c>
      <c r="F1" s="2" t="s">
        <v>192</v>
      </c>
      <c r="G1" s="18" t="s">
        <v>82</v>
      </c>
    </row>
    <row r="2" spans="2:7" ht="25.5">
      <c r="B2" s="2">
        <v>1</v>
      </c>
      <c r="C2" s="2">
        <f ca="1">IFERROR(OFFSET(Assign!$B$33,MATCH($B2,Assign!$F$33:$F$56,0)-1,0),"")</f>
        <v>10</v>
      </c>
      <c r="D2" s="18" t="str">
        <f ca="1">IFERROR(OFFSET(Assign!$C$33,MATCH($B2,Assign!$F$33:$F$56,0)-1,0),"")</f>
        <v>A3/ CMP1_HP3/ CMP1_HN0/ CMP1_LP3/ CMP1_LN0/ AIO233</v>
      </c>
      <c r="E2" s="2" t="s">
        <v>234</v>
      </c>
      <c r="F2" s="2" t="s">
        <v>223</v>
      </c>
      <c r="G2" s="34" t="s">
        <v>244</v>
      </c>
    </row>
    <row r="3" spans="2:7" ht="25.5">
      <c r="B3" s="2">
        <v>2</v>
      </c>
      <c r="C3" s="2">
        <f ca="1">IFERROR(OFFSET(Assign!$B$33,MATCH($B3,Assign!$F$33:$F$56,0)-1,0),"")</f>
        <v>28</v>
      </c>
      <c r="D3" s="18" t="str">
        <f ca="1">IFERROR(OFFSET(Assign!$C$33,MATCH($B3,Assign!$F$33:$F$56,0)-1,0),"")</f>
        <v>C5/ CMP6_HP1/ CMP6_HN1/ CMP6_LP1/ CMP6_LN1/ PGA6_IN/ CMP6_HP2/ CMP6_LP2/ AIO240</v>
      </c>
      <c r="E3" s="32" t="s">
        <v>235</v>
      </c>
      <c r="F3" s="2" t="s">
        <v>223</v>
      </c>
      <c r="G3" s="35" t="s">
        <v>264</v>
      </c>
    </row>
    <row r="4" spans="2:7" ht="25.5">
      <c r="B4" s="2">
        <v>3</v>
      </c>
      <c r="C4" s="2">
        <f ca="1">IFERROR(OFFSET(Assign!$B$33,MATCH($B4,Assign!$F$33:$F$56,0)-1,0),"")</f>
        <v>35</v>
      </c>
      <c r="D4" s="18" t="str">
        <f ca="1">IFERROR(OFFSET(Assign!$C$33,MATCH($B4,Assign!$F$33:$F$56,0)-1,0),"")</f>
        <v>A5/ CMP2_HP3/ CMP2_HN0/ CMP2_LP3/ CMP2_LN0/ AIO234</v>
      </c>
      <c r="E4" s="33" t="s">
        <v>234</v>
      </c>
      <c r="F4" s="2" t="s">
        <v>223</v>
      </c>
      <c r="G4" s="34" t="s">
        <v>245</v>
      </c>
    </row>
    <row r="5" spans="2:7" ht="25.5">
      <c r="B5" s="2">
        <v>4</v>
      </c>
      <c r="C5" s="2">
        <f ca="1">IFERROR(OFFSET(Assign!$B$33,MATCH($B5,Assign!$F$33:$F$56,0)-1,0),"")</f>
        <v>44</v>
      </c>
      <c r="D5" s="18" t="str">
        <f ca="1">IFERROR(OFFSET(Assign!$C$33,MATCH($B5,Assign!$F$33:$F$56,0)-1,0),"")</f>
        <v>C14/ CMP7_HP1/ CMP7_HN1/ CMP7_LP1/ CMP7_LN1/ AIO246</v>
      </c>
      <c r="E5" s="32" t="s">
        <v>235</v>
      </c>
      <c r="F5" s="2" t="s">
        <v>223</v>
      </c>
      <c r="G5" s="35" t="s">
        <v>265</v>
      </c>
    </row>
    <row r="6" spans="2:7">
      <c r="B6" s="2">
        <v>5</v>
      </c>
      <c r="C6" s="2" t="str">
        <f ca="1">IFERROR(OFFSET(Assign!$B$33,MATCH($B6,Assign!$F$33:$F$56,0)-1,0),"")</f>
        <v/>
      </c>
      <c r="D6" s="18" t="str">
        <f ca="1">IFERROR(OFFSET(Assign!$C$33,MATCH($B6,Assign!$F$33:$F$56,0)-1,0),"")</f>
        <v/>
      </c>
    </row>
    <row r="7" spans="2:7">
      <c r="B7" s="2">
        <v>6</v>
      </c>
      <c r="C7" s="2" t="str">
        <f ca="1">IFERROR(OFFSET(Assign!$B$33,MATCH($B7,Assign!$F$33:$F$56,0)-1,0),"")</f>
        <v/>
      </c>
      <c r="D7" s="18" t="str">
        <f ca="1">IFERROR(OFFSET(Assign!$C$33,MATCH($B7,Assign!$F$33:$F$56,0)-1,0),"")</f>
        <v/>
      </c>
    </row>
    <row r="8" spans="2:7">
      <c r="B8" s="2">
        <v>7</v>
      </c>
      <c r="C8" s="2" t="str">
        <f ca="1">IFERROR(OFFSET(Assign!$B$33,MATCH($B8,Assign!$F$33:$F$56,0)-1,0),"")</f>
        <v/>
      </c>
      <c r="D8" s="18" t="str">
        <f ca="1">IFERROR(OFFSET(Assign!$C$33,MATCH($B8,Assign!$F$33:$F$56,0)-1,0),"")</f>
        <v/>
      </c>
    </row>
    <row r="9" spans="2:7">
      <c r="B9" s="2">
        <v>8</v>
      </c>
      <c r="C9" s="2" t="str">
        <f ca="1">IFERROR(OFFSET(Assign!$B$33,MATCH($B9,Assign!$F$33:$F$56,0)-1,0),"")</f>
        <v/>
      </c>
      <c r="D9" s="18" t="str">
        <f ca="1">IFERROR(OFFSET(Assign!$C$33,MATCH($B9,Assign!$F$33:$F$56,0)-1,0),"")</f>
        <v/>
      </c>
    </row>
    <row r="10" spans="2:7">
      <c r="B10" s="2">
        <v>9</v>
      </c>
      <c r="C10" s="2" t="str">
        <f ca="1">IFERROR(OFFSET(Assign!$B$33,MATCH($B10,Assign!$F$33:$F$56,0)-1,0),"")</f>
        <v/>
      </c>
      <c r="D10" s="18" t="str">
        <f ca="1">IFERROR(OFFSET(Assign!$C$33,MATCH($B10,Assign!$F$33:$F$56,0)-1,0),"")</f>
        <v/>
      </c>
    </row>
    <row r="11" spans="2:7">
      <c r="B11" s="2">
        <v>10</v>
      </c>
      <c r="C11" s="2" t="str">
        <f ca="1">IFERROR(OFFSET(Assign!$B$33,MATCH($B11,Assign!$F$33:$F$56,0)-1,0),"")</f>
        <v/>
      </c>
      <c r="D11" s="18" t="str">
        <f ca="1">IFERROR(OFFSET(Assign!$C$33,MATCH($B11,Assign!$F$33:$F$56,0)-1,0),"")</f>
        <v/>
      </c>
    </row>
    <row r="12" spans="2:7">
      <c r="B12" s="2">
        <v>11</v>
      </c>
      <c r="C12" s="2" t="str">
        <f ca="1">IFERROR(OFFSET(Assign!$B$33,MATCH($B12,Assign!$F$33:$F$56,0)-1,0),"")</f>
        <v/>
      </c>
      <c r="D12" s="18" t="str">
        <f ca="1">IFERROR(OFFSET(Assign!$C$33,MATCH($B12,Assign!$F$33:$F$56,0)-1,0),"")</f>
        <v/>
      </c>
    </row>
    <row r="13" spans="2:7">
      <c r="B13" s="2">
        <v>12</v>
      </c>
      <c r="C13" s="2" t="str">
        <f ca="1">IFERROR(OFFSET(Assign!$B$33,MATCH($B13,Assign!$F$33:$F$56,0)-1,0),"")</f>
        <v/>
      </c>
      <c r="D13" s="18" t="str">
        <f ca="1">IFERROR(OFFSET(Assign!$C$33,MATCH($B13,Assign!$F$33:$F$56,0)-1,0),"")</f>
        <v/>
      </c>
    </row>
    <row r="14" spans="2:7">
      <c r="B14" s="2">
        <v>13</v>
      </c>
      <c r="C14" s="2" t="str">
        <f ca="1">IFERROR(OFFSET(Assign!$B$33,MATCH($B14,Assign!$F$33:$F$56,0)-1,0),"")</f>
        <v/>
      </c>
      <c r="D14" s="18" t="str">
        <f ca="1">IFERROR(OFFSET(Assign!$C$33,MATCH($B14,Assign!$F$33:$F$56,0)-1,0),"")</f>
        <v/>
      </c>
    </row>
    <row r="15" spans="2:7">
      <c r="B15" s="2">
        <v>14</v>
      </c>
      <c r="C15" s="2" t="str">
        <f ca="1">IFERROR(OFFSET(Assign!$B$33,MATCH($B15,Assign!$F$33:$F$56,0)-1,0),"")</f>
        <v/>
      </c>
      <c r="D15" s="18" t="str">
        <f ca="1">IFERROR(OFFSET(Assign!$C$33,MATCH($B15,Assign!$F$33:$F$56,0)-1,0),"")</f>
        <v/>
      </c>
    </row>
    <row r="16" spans="2:7">
      <c r="B16" s="2">
        <v>15</v>
      </c>
      <c r="C16" s="2" t="str">
        <f ca="1">IFERROR(OFFSET(Assign!$B$33,MATCH($B16,Assign!$F$33:$F$56,0)-1,0),"")</f>
        <v/>
      </c>
      <c r="D16" s="18" t="str">
        <f ca="1">IFERROR(OFFSET(Assign!$C$33,MATCH($B16,Assign!$F$33:$F$56,0)-1,0),"")</f>
        <v/>
      </c>
    </row>
    <row r="17" spans="2:4">
      <c r="B17" s="2">
        <v>16</v>
      </c>
      <c r="C17" s="2" t="str">
        <f ca="1">IFERROR(OFFSET(Assign!$B$33,MATCH($B17,Assign!$F$33:$F$56,0)-1,0),"")</f>
        <v/>
      </c>
      <c r="D17" s="18" t="str">
        <f ca="1">IFERROR(OFFSET(Assign!$C$33,MATCH($B17,Assign!$F$33:$F$56,0)-1,0),"")</f>
        <v/>
      </c>
    </row>
    <row r="18" spans="2:4">
      <c r="B18" s="2">
        <v>17</v>
      </c>
      <c r="C18" s="2" t="str">
        <f ca="1">IFERROR(OFFSET(Assign!$B$33,MATCH($B18,Assign!$F$33:$F$56,0)-1,0),"")</f>
        <v/>
      </c>
      <c r="D18" s="18" t="str">
        <f ca="1">IFERROR(OFFSET(Assign!$C$33,MATCH($B18,Assign!$F$33:$F$56,0)-1,0),"")</f>
        <v/>
      </c>
    </row>
    <row r="19" spans="2:4">
      <c r="B19" s="2">
        <v>18</v>
      </c>
      <c r="C19" s="2" t="str">
        <f ca="1">IFERROR(OFFSET(Assign!$B$33,MATCH($B19,Assign!$F$33:$F$56,0)-1,0),"")</f>
        <v/>
      </c>
      <c r="D19" s="18" t="str">
        <f ca="1">IFERROR(OFFSET(Assign!$C$33,MATCH($B19,Assign!$F$33:$F$56,0)-1,0),"")</f>
        <v/>
      </c>
    </row>
    <row r="20" spans="2:4">
      <c r="B20" s="2">
        <v>19</v>
      </c>
      <c r="C20" s="2" t="str">
        <f ca="1">IFERROR(OFFSET(Assign!$B$33,MATCH($B20,Assign!$F$33:$F$56,0)-1,0),"")</f>
        <v/>
      </c>
      <c r="D20" s="18" t="str">
        <f ca="1">IFERROR(OFFSET(Assign!$C$33,MATCH($B20,Assign!$F$33:$F$56,0)-1,0),"")</f>
        <v/>
      </c>
    </row>
    <row r="21" spans="2:4">
      <c r="B21" s="2">
        <v>20</v>
      </c>
      <c r="C21" s="2" t="str">
        <f ca="1">IFERROR(OFFSET(Assign!$B$33,MATCH($B21,Assign!$F$33:$F$56,0)-1,0),"")</f>
        <v/>
      </c>
      <c r="D21" s="18" t="str">
        <f ca="1">IFERROR(OFFSET(Assign!$C$33,MATCH($B21,Assign!$F$33:$F$56,0)-1,0),"")</f>
        <v/>
      </c>
    </row>
    <row r="22" spans="2:4">
      <c r="B22" s="2">
        <v>21</v>
      </c>
      <c r="C22" s="2" t="str">
        <f ca="1">IFERROR(OFFSET(Assign!$B$33,MATCH($B22,Assign!$F$33:$F$56,0)-1,0),"")</f>
        <v/>
      </c>
      <c r="D22" s="18" t="str">
        <f ca="1">IFERROR(OFFSET(Assign!$C$33,MATCH($B22,Assign!$F$33:$F$56,0)-1,0),"")</f>
        <v/>
      </c>
    </row>
    <row r="23" spans="2:4">
      <c r="B23" s="2">
        <v>22</v>
      </c>
      <c r="C23" s="2" t="str">
        <f ca="1">IFERROR(OFFSET(Assign!$B$33,MATCH($B23,Assign!$F$33:$F$56,0)-1,0),"")</f>
        <v/>
      </c>
      <c r="D23" s="18" t="str">
        <f ca="1">IFERROR(OFFSET(Assign!$C$33,MATCH($B23,Assign!$F$33:$F$56,0)-1,0),"")</f>
        <v/>
      </c>
    </row>
    <row r="24" spans="2:4">
      <c r="B24" s="2">
        <v>23</v>
      </c>
      <c r="C24" s="2" t="str">
        <f ca="1">IFERROR(OFFSET(Assign!$B$33,MATCH($B24,Assign!$F$33:$F$56,0)-1,0),"")</f>
        <v/>
      </c>
      <c r="D24" s="18" t="str">
        <f ca="1">IFERROR(OFFSET(Assign!$C$33,MATCH($B24,Assign!$F$33:$F$56,0)-1,0),"")</f>
        <v/>
      </c>
    </row>
    <row r="25" spans="2:4">
      <c r="B25" s="2">
        <v>24</v>
      </c>
      <c r="C25" s="2" t="str">
        <f ca="1">IFERROR(OFFSET(Assign!$B$33,MATCH($B25,Assign!$F$33:$F$56,0)-1,0),"")</f>
        <v/>
      </c>
      <c r="D25" s="18" t="str">
        <f ca="1">IFERROR(OFFSET(Assign!$C$33,MATCH($B25,Assign!$F$33:$F$56,0)-1,0),"")</f>
        <v/>
      </c>
    </row>
    <row r="26" spans="2:4">
      <c r="B26" s="2">
        <v>25</v>
      </c>
      <c r="C26" s="2" t="str">
        <f ca="1">IFERROR(OFFSET(Assign!$B$33,MATCH($B26,Assign!$F$33:$F$56,0)-1,0),"")</f>
        <v/>
      </c>
      <c r="D26" s="18" t="str">
        <f ca="1">IFERROR(OFFSET(Assign!$C$33,MATCH($B26,Assign!$F$33:$F$56,0)-1,0),"")</f>
        <v/>
      </c>
    </row>
    <row r="27" spans="2:4">
      <c r="B27" s="2">
        <v>26</v>
      </c>
      <c r="C27" s="2" t="str">
        <f ca="1">IFERROR(OFFSET(Assign!$B$33,MATCH($B27,Assign!$F$33:$F$56,0)-1,0),"")</f>
        <v/>
      </c>
      <c r="D27" s="18" t="str">
        <f ca="1">IFERROR(OFFSET(Assign!$C$33,MATCH($B27,Assign!$F$33:$F$56,0)-1,0),"")</f>
        <v/>
      </c>
    </row>
    <row r="28" spans="2:4">
      <c r="B28" s="2">
        <v>27</v>
      </c>
      <c r="C28" s="2" t="str">
        <f ca="1">IFERROR(OFFSET(Assign!$B$33,MATCH($B28,Assign!$F$33:$F$56,0)-1,0),"")</f>
        <v/>
      </c>
      <c r="D28" s="18" t="str">
        <f ca="1">IFERROR(OFFSET(Assign!$C$33,MATCH($B28,Assign!$F$33:$F$56,0)-1,0),"")</f>
        <v/>
      </c>
    </row>
    <row r="29" spans="2:4">
      <c r="B29" s="2">
        <v>28</v>
      </c>
      <c r="C29" s="2" t="str">
        <f ca="1">IFERROR(OFFSET(Assign!$B$33,MATCH($B29,Assign!$F$33:$F$56,0)-1,0),"")</f>
        <v/>
      </c>
      <c r="D29" s="18" t="str">
        <f ca="1">IFERROR(OFFSET(Assign!$C$33,MATCH($B29,Assign!$F$33:$F$56,0)-1,0),"")</f>
        <v/>
      </c>
    </row>
    <row r="30" spans="2:4">
      <c r="B30" s="2">
        <v>29</v>
      </c>
      <c r="C30" s="2" t="str">
        <f ca="1">IFERROR(OFFSET(Assign!$B$33,MATCH($B30,Assign!$F$33:$F$56,0)-1,0),"")</f>
        <v/>
      </c>
      <c r="D30" s="18" t="str">
        <f ca="1">IFERROR(OFFSET(Assign!$C$33,MATCH($B30,Assign!$F$33:$F$56,0)-1,0),"")</f>
        <v/>
      </c>
    </row>
    <row r="31" spans="2:4">
      <c r="B31" s="2">
        <v>30</v>
      </c>
      <c r="C31" s="2" t="str">
        <f ca="1">IFERROR(OFFSET(Assign!$B$33,MATCH($B31,Assign!$F$33:$F$56,0)-1,0),"")</f>
        <v/>
      </c>
      <c r="D31" s="18" t="str">
        <f ca="1">IFERROR(OFFSET(Assign!$C$33,MATCH($B31,Assign!$F$33:$F$56,0)-1,0),"")</f>
        <v/>
      </c>
    </row>
    <row r="32" spans="2:4">
      <c r="B32" s="2">
        <v>31</v>
      </c>
      <c r="C32" s="2" t="str">
        <f ca="1">IFERROR(OFFSET(Assign!$B$33,MATCH($B32,Assign!$F$33:$F$56,0)-1,0),"")</f>
        <v/>
      </c>
      <c r="D32" s="18" t="str">
        <f ca="1">IFERROR(OFFSET(Assign!$C$33,MATCH($B32,Assign!$F$33:$F$56,0)-1,0),"")</f>
        <v/>
      </c>
    </row>
    <row r="33" spans="2:4">
      <c r="B33" s="2">
        <v>32</v>
      </c>
      <c r="C33" s="2" t="str">
        <f ca="1">IFERROR(OFFSET(Assign!$B$33,MATCH($B33,Assign!$F$33:$F$56,0)-1,0),"")</f>
        <v/>
      </c>
      <c r="D33" s="18" t="str">
        <f ca="1">IFERROR(OFFSET(Assign!$C$33,MATCH($B33,Assign!$F$33:$F$56,0)-1,0),"")</f>
        <v/>
      </c>
    </row>
    <row r="34" spans="2:4">
      <c r="B34" s="2">
        <v>33</v>
      </c>
      <c r="C34" s="2" t="str">
        <f ca="1">IFERROR(OFFSET(Assign!$B$33,MATCH($B34,Assign!$F$33:$F$56,0)-1,0),"")</f>
        <v/>
      </c>
      <c r="D34" s="18" t="str">
        <f ca="1">IFERROR(OFFSET(Assign!$C$33,MATCH($B34,Assign!$F$33:$F$56,0)-1,0),"")</f>
        <v/>
      </c>
    </row>
    <row r="35" spans="2:4">
      <c r="B35" s="2">
        <v>34</v>
      </c>
      <c r="C35" s="2" t="str">
        <f ca="1">IFERROR(OFFSET(Assign!$B$33,MATCH($B35,Assign!$F$33:$F$56,0)-1,0),"")</f>
        <v/>
      </c>
      <c r="D35" s="18" t="str">
        <f ca="1">IFERROR(OFFSET(Assign!$C$33,MATCH($B35,Assign!$F$33:$F$56,0)-1,0),"")</f>
        <v/>
      </c>
    </row>
    <row r="36" spans="2:4">
      <c r="B36" s="2">
        <v>35</v>
      </c>
      <c r="C36" s="2" t="str">
        <f ca="1">IFERROR(OFFSET(Assign!$B$33,MATCH($B36,Assign!$F$33:$F$56,0)-1,0),"")</f>
        <v/>
      </c>
      <c r="D36" s="18" t="str">
        <f ca="1">IFERROR(OFFSET(Assign!$C$33,MATCH($B36,Assign!$F$33:$F$56,0)-1,0),"")</f>
        <v/>
      </c>
    </row>
    <row r="37" spans="2:4">
      <c r="B37" s="2">
        <v>36</v>
      </c>
      <c r="C37" s="2" t="str">
        <f ca="1">IFERROR(OFFSET(Assign!$B$33,MATCH($B37,Assign!$F$33:$F$56,0)-1,0),"")</f>
        <v/>
      </c>
      <c r="D37" s="18" t="str">
        <f ca="1">IFERROR(OFFSET(Assign!$C$33,MATCH($B37,Assign!$F$33:$F$56,0)-1,0),"")</f>
        <v/>
      </c>
    </row>
    <row r="38" spans="2:4">
      <c r="B38" s="2">
        <v>37</v>
      </c>
      <c r="C38" s="2" t="str">
        <f ca="1">IFERROR(OFFSET(Assign!$B$33,MATCH($B38,Assign!$F$33:$F$56,0)-1,0),"")</f>
        <v/>
      </c>
      <c r="D38" s="18" t="str">
        <f ca="1">IFERROR(OFFSET(Assign!$C$33,MATCH($B38,Assign!$F$33:$F$56,0)-1,0),"")</f>
        <v/>
      </c>
    </row>
    <row r="39" spans="2:4">
      <c r="B39" s="2">
        <v>38</v>
      </c>
      <c r="C39" s="2" t="str">
        <f ca="1">IFERROR(OFFSET(Assign!$B$33,MATCH($B39,Assign!$F$33:$F$56,0)-1,0),"")</f>
        <v/>
      </c>
      <c r="D39" s="18" t="str">
        <f ca="1">IFERROR(OFFSET(Assign!$C$33,MATCH($B39,Assign!$F$33:$F$56,0)-1,0),"")</f>
        <v/>
      </c>
    </row>
    <row r="40" spans="2:4">
      <c r="B40" s="2">
        <v>39</v>
      </c>
      <c r="C40" s="2" t="str">
        <f ca="1">IFERROR(OFFSET(Assign!$B$33,MATCH($B40,Assign!$F$33:$F$56,0)-1,0),"")</f>
        <v/>
      </c>
      <c r="D40" s="18" t="str">
        <f ca="1">IFERROR(OFFSET(Assign!$C$33,MATCH($B40,Assign!$F$33:$F$56,0)-1,0),"")</f>
        <v/>
      </c>
    </row>
    <row r="41" spans="2:4">
      <c r="B41" s="2">
        <v>40</v>
      </c>
      <c r="C41" s="2" t="str">
        <f ca="1">IFERROR(OFFSET(Assign!$B$33,MATCH($B41,Assign!$F$33:$F$56,0)-1,0),"")</f>
        <v/>
      </c>
      <c r="D41" s="18" t="str">
        <f ca="1">IFERROR(OFFSET(Assign!$C$33,MATCH($B41,Assign!$F$33:$F$56,0)-1,0),"")</f>
        <v/>
      </c>
    </row>
    <row r="42" spans="2:4">
      <c r="B42" s="2">
        <v>41</v>
      </c>
      <c r="C42" s="2" t="str">
        <f ca="1">IFERROR(OFFSET(Assign!$B$33,MATCH($B42,Assign!$F$33:$F$56,0)-1,0),"")</f>
        <v/>
      </c>
      <c r="D42" s="18" t="str">
        <f ca="1">IFERROR(OFFSET(Assign!$C$33,MATCH($B42,Assign!$F$33:$F$56,0)-1,0),"")</f>
        <v/>
      </c>
    </row>
    <row r="43" spans="2:4">
      <c r="B43" s="2">
        <v>42</v>
      </c>
      <c r="C43" s="2" t="str">
        <f ca="1">IFERROR(OFFSET(Assign!$B$33,MATCH($B43,Assign!$F$33:$F$56,0)-1,0),"")</f>
        <v/>
      </c>
      <c r="D43" s="18" t="str">
        <f ca="1">IFERROR(OFFSET(Assign!$C$33,MATCH($B43,Assign!$F$33:$F$56,0)-1,0),"")</f>
        <v/>
      </c>
    </row>
    <row r="44" spans="2:4">
      <c r="B44" s="2">
        <v>43</v>
      </c>
      <c r="C44" s="2" t="str">
        <f ca="1">IFERROR(OFFSET(Assign!$B$33,MATCH($B44,Assign!$F$33:$F$56,0)-1,0),"")</f>
        <v/>
      </c>
      <c r="D44" s="18" t="str">
        <f ca="1">IFERROR(OFFSET(Assign!$C$33,MATCH($B44,Assign!$F$33:$F$56,0)-1,0),"")</f>
        <v/>
      </c>
    </row>
    <row r="45" spans="2:4">
      <c r="B45" s="2">
        <v>44</v>
      </c>
      <c r="C45" s="2" t="str">
        <f ca="1">IFERROR(OFFSET(Assign!$B$33,MATCH($B45,Assign!$F$33:$F$56,0)-1,0),"")</f>
        <v/>
      </c>
      <c r="D45" s="18" t="str">
        <f ca="1">IFERROR(OFFSET(Assign!$C$33,MATCH($B45,Assign!$F$33:$F$56,0)-1,0),"")</f>
        <v/>
      </c>
    </row>
    <row r="46" spans="2:4">
      <c r="B46" s="2">
        <v>45</v>
      </c>
      <c r="C46" s="2" t="str">
        <f ca="1">IFERROR(OFFSET(Assign!$B$33,MATCH($B46,Assign!$F$33:$F$56,0)-1,0),"")</f>
        <v/>
      </c>
      <c r="D46" s="18" t="str">
        <f ca="1">IFERROR(OFFSET(Assign!$C$33,MATCH($B46,Assign!$F$33:$F$56,0)-1,0),"")</f>
        <v/>
      </c>
    </row>
    <row r="47" spans="2:4">
      <c r="B47" s="2">
        <v>46</v>
      </c>
      <c r="C47" s="2" t="str">
        <f ca="1">IFERROR(OFFSET(Assign!$B$33,MATCH($B47,Assign!$F$33:$F$56,0)-1,0),"")</f>
        <v/>
      </c>
      <c r="D47" s="18" t="str">
        <f ca="1">IFERROR(OFFSET(Assign!$C$33,MATCH($B47,Assign!$F$33:$F$56,0)-1,0),"")</f>
        <v/>
      </c>
    </row>
    <row r="48" spans="2:4">
      <c r="B48" s="2">
        <v>47</v>
      </c>
      <c r="C48" s="2" t="str">
        <f ca="1">IFERROR(OFFSET(Assign!$B$33,MATCH($B48,Assign!$F$33:$F$56,0)-1,0),"")</f>
        <v/>
      </c>
      <c r="D48" s="18" t="str">
        <f ca="1">IFERROR(OFFSET(Assign!$C$33,MATCH($B48,Assign!$F$33:$F$56,0)-1,0),"")</f>
        <v/>
      </c>
    </row>
    <row r="49" spans="2:4">
      <c r="B49" s="2">
        <v>48</v>
      </c>
      <c r="C49" s="2" t="str">
        <f ca="1">IFERROR(OFFSET(Assign!$B$33,MATCH($B49,Assign!$F$33:$F$56,0)-1,0),"")</f>
        <v/>
      </c>
      <c r="D49" s="18" t="str">
        <f ca="1">IFERROR(OFFSET(Assign!$C$33,MATCH($B49,Assign!$F$33:$F$56,0)-1,0),"")</f>
        <v/>
      </c>
    </row>
    <row r="50" spans="2:4">
      <c r="B50" s="2">
        <v>49</v>
      </c>
      <c r="C50" s="2" t="str">
        <f ca="1">IFERROR(OFFSET(Assign!$B$33,MATCH($B50,Assign!$F$33:$F$56,0)-1,0),"")</f>
        <v/>
      </c>
      <c r="D50" s="18" t="str">
        <f ca="1">IFERROR(OFFSET(Assign!$C$33,MATCH($B50,Assign!$F$33:$F$56,0)-1,0),"")</f>
        <v/>
      </c>
    </row>
    <row r="51" spans="2:4">
      <c r="B51" s="2">
        <v>50</v>
      </c>
      <c r="C51" s="2" t="str">
        <f ca="1">IFERROR(OFFSET(Assign!$B$33,MATCH($B51,Assign!$F$33:$F$56,0)-1,0),"")</f>
        <v/>
      </c>
      <c r="D51" s="18" t="str">
        <f ca="1">IFERROR(OFFSET(Assign!$C$33,MATCH($B51,Assign!$F$33:$F$56,0)-1,0),"")</f>
        <v/>
      </c>
    </row>
    <row r="52" spans="2:4">
      <c r="B52" s="2">
        <v>51</v>
      </c>
      <c r="C52" s="2" t="str">
        <f ca="1">IFERROR(OFFSET(Assign!$B$33,MATCH($B52,Assign!$F$33:$F$56,0)-1,0),"")</f>
        <v/>
      </c>
      <c r="D52" s="18" t="str">
        <f ca="1">IFERROR(OFFSET(Assign!$C$33,MATCH($B52,Assign!$F$33:$F$56,0)-1,0),"")</f>
        <v/>
      </c>
    </row>
    <row r="53" spans="2:4">
      <c r="B53" s="2">
        <v>52</v>
      </c>
      <c r="C53" s="2" t="str">
        <f ca="1">IFERROR(OFFSET(Assign!$B$33,MATCH($B53,Assign!$F$33:$F$56,0)-1,0),"")</f>
        <v/>
      </c>
      <c r="D53" s="18" t="str">
        <f ca="1">IFERROR(OFFSET(Assign!$C$33,MATCH($B53,Assign!$F$33:$F$56,0)-1,0),"")</f>
        <v/>
      </c>
    </row>
    <row r="54" spans="2:4">
      <c r="B54" s="2">
        <v>53</v>
      </c>
      <c r="C54" s="2" t="str">
        <f ca="1">IFERROR(OFFSET(Assign!$B$33,MATCH($B54,Assign!$F$33:$F$56,0)-1,0),"")</f>
        <v/>
      </c>
      <c r="D54" s="18" t="str">
        <f ca="1">IFERROR(OFFSET(Assign!$C$33,MATCH($B54,Assign!$F$33:$F$56,0)-1,0),"")</f>
        <v/>
      </c>
    </row>
    <row r="55" spans="2:4">
      <c r="B55" s="2">
        <v>54</v>
      </c>
      <c r="C55" s="2" t="str">
        <f ca="1">IFERROR(OFFSET(Assign!$B$33,MATCH($B55,Assign!$F$33:$F$56,0)-1,0),"")</f>
        <v/>
      </c>
      <c r="D55" s="18" t="str">
        <f ca="1">IFERROR(OFFSET(Assign!$C$33,MATCH($B55,Assign!$F$33:$F$56,0)-1,0),"")</f>
        <v/>
      </c>
    </row>
    <row r="56" spans="2:4">
      <c r="B56" s="2">
        <v>55</v>
      </c>
      <c r="C56" s="2" t="str">
        <f ca="1">IFERROR(OFFSET(Assign!$B$33,MATCH($B56,Assign!$F$33:$F$56,0)-1,0),"")</f>
        <v/>
      </c>
      <c r="D56" s="18" t="str">
        <f ca="1">IFERROR(OFFSET(Assign!$C$33,MATCH($B56,Assign!$F$33:$F$56,0)-1,0),"")</f>
        <v/>
      </c>
    </row>
    <row r="57" spans="2:4">
      <c r="B57" s="2">
        <v>56</v>
      </c>
      <c r="C57" s="2" t="str">
        <f ca="1">IFERROR(OFFSET(Assign!$B$33,MATCH($B57,Assign!$F$33:$F$56,0)-1,0),"")</f>
        <v/>
      </c>
      <c r="D57" s="18" t="str">
        <f ca="1">IFERROR(OFFSET(Assign!$C$33,MATCH($B57,Assign!$F$33:$F$56,0)-1,0),"")</f>
        <v/>
      </c>
    </row>
    <row r="58" spans="2:4">
      <c r="B58" s="2">
        <v>57</v>
      </c>
      <c r="C58" s="2" t="str">
        <f ca="1">IFERROR(OFFSET(Assign!$B$33,MATCH($B58,Assign!$F$33:$F$56,0)-1,0),"")</f>
        <v/>
      </c>
      <c r="D58" s="18" t="str">
        <f ca="1">IFERROR(OFFSET(Assign!$C$33,MATCH($B58,Assign!$F$33:$F$56,0)-1,0),"")</f>
        <v/>
      </c>
    </row>
    <row r="59" spans="2:4">
      <c r="B59" s="2">
        <v>58</v>
      </c>
      <c r="C59" s="2" t="str">
        <f ca="1">IFERROR(OFFSET(Assign!$B$33,MATCH($B59,Assign!$F$33:$F$56,0)-1,0),"")</f>
        <v/>
      </c>
      <c r="D59" s="18" t="str">
        <f ca="1">IFERROR(OFFSET(Assign!$C$33,MATCH($B59,Assign!$F$33:$F$56,0)-1,0),"")</f>
        <v/>
      </c>
    </row>
    <row r="60" spans="2:4">
      <c r="B60" s="2">
        <v>59</v>
      </c>
      <c r="C60" s="2" t="str">
        <f ca="1">IFERROR(OFFSET(Assign!$B$33,MATCH($B60,Assign!$F$33:$F$56,0)-1,0),"")</f>
        <v/>
      </c>
      <c r="D60" s="18" t="str">
        <f ca="1">IFERROR(OFFSET(Assign!$C$33,MATCH($B60,Assign!$F$33:$F$56,0)-1,0),"")</f>
        <v/>
      </c>
    </row>
    <row r="61" spans="2:4">
      <c r="B61" s="2">
        <v>60</v>
      </c>
      <c r="C61" s="2" t="str">
        <f ca="1">IFERROR(OFFSET(Assign!$B$33,MATCH($B61,Assign!$F$33:$F$56,0)-1,0),"")</f>
        <v/>
      </c>
      <c r="D61" s="18" t="str">
        <f ca="1">IFERROR(OFFSET(Assign!$C$33,MATCH($B61,Assign!$F$33:$F$56,0)-1,0),"")</f>
        <v/>
      </c>
    </row>
    <row r="62" spans="2:4">
      <c r="B62" s="2">
        <v>61</v>
      </c>
      <c r="C62" s="2" t="str">
        <f ca="1">IFERROR(OFFSET(Assign!$B$33,MATCH($B62,Assign!$F$33:$F$56,0)-1,0),"")</f>
        <v/>
      </c>
      <c r="D62" s="18" t="str">
        <f ca="1">IFERROR(OFFSET(Assign!$C$33,MATCH($B62,Assign!$F$33:$F$56,0)-1,0),"")</f>
        <v/>
      </c>
    </row>
    <row r="63" spans="2:4">
      <c r="B63" s="2">
        <v>62</v>
      </c>
      <c r="C63" s="2" t="str">
        <f ca="1">IFERROR(OFFSET(Assign!$B$33,MATCH($B63,Assign!$F$33:$F$56,0)-1,0),"")</f>
        <v/>
      </c>
      <c r="D63" s="18" t="str">
        <f ca="1">IFERROR(OFFSET(Assign!$C$33,MATCH($B63,Assign!$F$33:$F$56,0)-1,0),"")</f>
        <v/>
      </c>
    </row>
    <row r="64" spans="2:4">
      <c r="B64" s="2">
        <v>63</v>
      </c>
      <c r="C64" s="2" t="str">
        <f ca="1">IFERROR(OFFSET(Assign!$B$33,MATCH($B64,Assign!$F$33:$F$56,0)-1,0),"")</f>
        <v/>
      </c>
      <c r="D64" s="18" t="str">
        <f ca="1">IFERROR(OFFSET(Assign!$C$33,MATCH($B64,Assign!$F$33:$F$56,0)-1,0),"")</f>
        <v/>
      </c>
    </row>
    <row r="65" spans="2:4">
      <c r="B65" s="2">
        <v>64</v>
      </c>
      <c r="C65" s="2" t="str">
        <f ca="1">IFERROR(OFFSET(Assign!$B$33,MATCH($B65,Assign!$F$33:$F$56,0)-1,0),"")</f>
        <v/>
      </c>
      <c r="D65" s="18" t="str">
        <f ca="1">IFERROR(OFFSET(Assign!$C$33,MATCH($B65,Assign!$F$33:$F$56,0)-1,0),"")</f>
        <v/>
      </c>
    </row>
    <row r="66" spans="2:4">
      <c r="B66" s="2">
        <v>65</v>
      </c>
      <c r="C66" s="2" t="str">
        <f ca="1">IFERROR(OFFSET(Assign!$B$33,MATCH($B66,Assign!$F$33:$F$56,0)-1,0),"")</f>
        <v/>
      </c>
      <c r="D66" s="18" t="str">
        <f ca="1">IFERROR(OFFSET(Assign!$C$33,MATCH($B66,Assign!$F$33:$F$56,0)-1,0),"")</f>
        <v/>
      </c>
    </row>
    <row r="67" spans="2:4">
      <c r="B67" s="2">
        <v>66</v>
      </c>
      <c r="C67" s="2" t="str">
        <f ca="1">IFERROR(OFFSET(Assign!$B$33,MATCH($B67,Assign!$F$33:$F$56,0)-1,0),"")</f>
        <v/>
      </c>
      <c r="D67" s="18" t="str">
        <f ca="1">IFERROR(OFFSET(Assign!$C$33,MATCH($B67,Assign!$F$33:$F$56,0)-1,0),"")</f>
        <v/>
      </c>
    </row>
    <row r="68" spans="2:4">
      <c r="B68" s="2">
        <v>67</v>
      </c>
      <c r="C68" s="2" t="str">
        <f ca="1">IFERROR(OFFSET(Assign!$B$33,MATCH($B68,Assign!$F$33:$F$56,0)-1,0),"")</f>
        <v/>
      </c>
      <c r="D68" s="18" t="str">
        <f ca="1">IFERROR(OFFSET(Assign!$C$33,MATCH($B68,Assign!$F$33:$F$56,0)-1,0),"")</f>
        <v/>
      </c>
    </row>
    <row r="69" spans="2:4">
      <c r="B69" s="2">
        <v>68</v>
      </c>
      <c r="C69" s="2" t="str">
        <f ca="1">IFERROR(OFFSET(Assign!$B$33,MATCH($B69,Assign!$F$33:$F$56,0)-1,0),"")</f>
        <v/>
      </c>
      <c r="D69" s="18" t="str">
        <f ca="1">IFERROR(OFFSET(Assign!$C$33,MATCH($B69,Assign!$F$33:$F$56,0)-1,0),"")</f>
        <v/>
      </c>
    </row>
    <row r="70" spans="2:4">
      <c r="B70" s="2">
        <v>69</v>
      </c>
      <c r="C70" s="2" t="str">
        <f ca="1">IFERROR(OFFSET(Assign!$B$33,MATCH($B70,Assign!$F$33:$F$56,0)-1,0),"")</f>
        <v/>
      </c>
      <c r="D70" s="18" t="str">
        <f ca="1">IFERROR(OFFSET(Assign!$C$33,MATCH($B70,Assign!$F$33:$F$56,0)-1,0),"")</f>
        <v/>
      </c>
    </row>
    <row r="71" spans="2:4">
      <c r="B71" s="2">
        <v>70</v>
      </c>
      <c r="C71" s="2" t="str">
        <f ca="1">IFERROR(OFFSET(Assign!$B$33,MATCH($B71,Assign!$F$33:$F$56,0)-1,0),"")</f>
        <v/>
      </c>
      <c r="D71" s="18" t="str">
        <f ca="1">IFERROR(OFFSET(Assign!$C$33,MATCH($B71,Assign!$F$33:$F$56,0)-1,0),"")</f>
        <v/>
      </c>
    </row>
    <row r="72" spans="2:4">
      <c r="B72" s="2">
        <v>71</v>
      </c>
      <c r="C72" s="2" t="str">
        <f ca="1">IFERROR(OFFSET(Assign!$B$33,MATCH($B72,Assign!$F$33:$F$56,0)-1,0),"")</f>
        <v/>
      </c>
      <c r="D72" s="18" t="str">
        <f ca="1">IFERROR(OFFSET(Assign!$C$33,MATCH($B72,Assign!$F$33:$F$56,0)-1,0),"")</f>
        <v/>
      </c>
    </row>
    <row r="73" spans="2:4">
      <c r="B73" s="2">
        <v>72</v>
      </c>
      <c r="C73" s="2" t="str">
        <f ca="1">IFERROR(OFFSET(Assign!$B$33,MATCH($B73,Assign!$F$33:$F$56,0)-1,0),"")</f>
        <v/>
      </c>
      <c r="D73" s="18" t="str">
        <f ca="1">IFERROR(OFFSET(Assign!$C$33,MATCH($B73,Assign!$F$33:$F$56,0)-1,0),"")</f>
        <v/>
      </c>
    </row>
    <row r="74" spans="2:4">
      <c r="B74" s="2">
        <v>73</v>
      </c>
      <c r="C74" s="2" t="str">
        <f ca="1">IFERROR(OFFSET(Assign!$B$33,MATCH($B74,Assign!$F$33:$F$56,0)-1,0),"")</f>
        <v/>
      </c>
      <c r="D74" s="18" t="str">
        <f ca="1">IFERROR(OFFSET(Assign!$C$33,MATCH($B74,Assign!$F$33:$F$56,0)-1,0),"")</f>
        <v/>
      </c>
    </row>
    <row r="75" spans="2:4">
      <c r="B75" s="2">
        <v>74</v>
      </c>
      <c r="C75" s="2" t="str">
        <f ca="1">IFERROR(OFFSET(Assign!$B$33,MATCH($B75,Assign!$F$33:$F$56,0)-1,0),"")</f>
        <v/>
      </c>
      <c r="D75" s="18" t="str">
        <f ca="1">IFERROR(OFFSET(Assign!$C$33,MATCH($B75,Assign!$F$33:$F$56,0)-1,0),"")</f>
        <v/>
      </c>
    </row>
    <row r="76" spans="2:4">
      <c r="B76" s="2">
        <v>75</v>
      </c>
      <c r="C76" s="2" t="str">
        <f ca="1">IFERROR(OFFSET(Assign!$B$33,MATCH($B76,Assign!$F$33:$F$56,0)-1,0),"")</f>
        <v/>
      </c>
      <c r="D76" s="18" t="str">
        <f ca="1">IFERROR(OFFSET(Assign!$C$33,MATCH($B76,Assign!$F$33:$F$56,0)-1,0),"")</f>
        <v/>
      </c>
    </row>
    <row r="77" spans="2:4">
      <c r="B77" s="2">
        <v>76</v>
      </c>
      <c r="C77" s="2" t="str">
        <f ca="1">IFERROR(OFFSET(Assign!$B$33,MATCH($B77,Assign!$F$33:$F$56,0)-1,0),"")</f>
        <v/>
      </c>
      <c r="D77" s="18" t="str">
        <f ca="1">IFERROR(OFFSET(Assign!$C$33,MATCH($B77,Assign!$F$33:$F$56,0)-1,0),"")</f>
        <v/>
      </c>
    </row>
    <row r="78" spans="2:4">
      <c r="B78" s="2">
        <v>77</v>
      </c>
      <c r="C78" s="2" t="str">
        <f ca="1">IFERROR(OFFSET(Assign!$B$33,MATCH($B78,Assign!$F$33:$F$56,0)-1,0),"")</f>
        <v/>
      </c>
      <c r="D78" s="18" t="str">
        <f ca="1">IFERROR(OFFSET(Assign!$C$33,MATCH($B78,Assign!$F$33:$F$56,0)-1,0),"")</f>
        <v/>
      </c>
    </row>
    <row r="79" spans="2:4">
      <c r="B79" s="2">
        <v>78</v>
      </c>
      <c r="C79" s="2" t="str">
        <f ca="1">IFERROR(OFFSET(Assign!$B$33,MATCH($B79,Assign!$F$33:$F$56,0)-1,0),"")</f>
        <v/>
      </c>
      <c r="D79" s="18" t="str">
        <f ca="1">IFERROR(OFFSET(Assign!$C$33,MATCH($B79,Assign!$F$33:$F$56,0)-1,0),"")</f>
        <v/>
      </c>
    </row>
    <row r="80" spans="2:4">
      <c r="B80" s="2">
        <v>79</v>
      </c>
      <c r="C80" s="2" t="str">
        <f ca="1">IFERROR(OFFSET(Assign!$B$33,MATCH($B80,Assign!$F$33:$F$56,0)-1,0),"")</f>
        <v/>
      </c>
      <c r="D80" s="18" t="str">
        <f ca="1">IFERROR(OFFSET(Assign!$C$33,MATCH($B80,Assign!$F$33:$F$56,0)-1,0),"")</f>
        <v/>
      </c>
    </row>
    <row r="81" spans="2:4">
      <c r="B81" s="2">
        <v>80</v>
      </c>
      <c r="C81" s="2" t="str">
        <f ca="1">IFERROR(OFFSET(Assign!$B$33,MATCH($B81,Assign!$F$33:$F$56,0)-1,0),"")</f>
        <v/>
      </c>
      <c r="D81" s="18" t="str">
        <f ca="1">IFERROR(OFFSET(Assign!$C$33,MATCH($B81,Assign!$F$33:$F$56,0)-1,0),"")</f>
        <v/>
      </c>
    </row>
    <row r="82" spans="2:4">
      <c r="B82" s="2">
        <v>81</v>
      </c>
      <c r="C82" s="2" t="str">
        <f ca="1">IFERROR(OFFSET(Assign!$B$33,MATCH($B82,Assign!$F$33:$F$56,0)-1,0),"")</f>
        <v/>
      </c>
      <c r="D82" s="18" t="str">
        <f ca="1">IFERROR(OFFSET(Assign!$C$33,MATCH($B82,Assign!$F$33:$F$56,0)-1,0),"")</f>
        <v/>
      </c>
    </row>
    <row r="83" spans="2:4">
      <c r="B83" s="2">
        <v>82</v>
      </c>
      <c r="C83" s="2" t="str">
        <f ca="1">IFERROR(OFFSET(Assign!$B$33,MATCH($B83,Assign!$F$33:$F$56,0)-1,0),"")</f>
        <v/>
      </c>
      <c r="D83" s="18" t="str">
        <f ca="1">IFERROR(OFFSET(Assign!$C$33,MATCH($B83,Assign!$F$33:$F$56,0)-1,0),"")</f>
        <v/>
      </c>
    </row>
    <row r="84" spans="2:4">
      <c r="B84" s="2">
        <v>83</v>
      </c>
      <c r="C84" s="2" t="str">
        <f ca="1">IFERROR(OFFSET(Assign!$B$33,MATCH($B84,Assign!$F$33:$F$56,0)-1,0),"")</f>
        <v/>
      </c>
      <c r="D84" s="18" t="str">
        <f ca="1">IFERROR(OFFSET(Assign!$C$33,MATCH($B84,Assign!$F$33:$F$56,0)-1,0),"")</f>
        <v/>
      </c>
    </row>
    <row r="85" spans="2:4">
      <c r="B85" s="2">
        <v>84</v>
      </c>
      <c r="C85" s="2" t="str">
        <f ca="1">IFERROR(OFFSET(Assign!$B$33,MATCH($B85,Assign!$F$33:$F$56,0)-1,0),"")</f>
        <v/>
      </c>
      <c r="D85" s="18" t="str">
        <f ca="1">IFERROR(OFFSET(Assign!$C$33,MATCH($B85,Assign!$F$33:$F$56,0)-1,0),"")</f>
        <v/>
      </c>
    </row>
    <row r="86" spans="2:4">
      <c r="B86" s="2">
        <v>85</v>
      </c>
      <c r="C86" s="2" t="str">
        <f ca="1">IFERROR(OFFSET(Assign!$B$33,MATCH($B86,Assign!$F$33:$F$56,0)-1,0),"")</f>
        <v/>
      </c>
      <c r="D86" s="18" t="str">
        <f ca="1">IFERROR(OFFSET(Assign!$C$33,MATCH($B86,Assign!$F$33:$F$56,0)-1,0),"")</f>
        <v/>
      </c>
    </row>
    <row r="87" spans="2:4">
      <c r="B87" s="2">
        <v>86</v>
      </c>
      <c r="C87" s="2" t="str">
        <f ca="1">IFERROR(OFFSET(Assign!$B$33,MATCH($B87,Assign!$F$33:$F$56,0)-1,0),"")</f>
        <v/>
      </c>
      <c r="D87" s="18" t="str">
        <f ca="1">IFERROR(OFFSET(Assign!$C$33,MATCH($B87,Assign!$F$33:$F$56,0)-1,0),"")</f>
        <v/>
      </c>
    </row>
    <row r="88" spans="2:4">
      <c r="B88" s="2">
        <v>87</v>
      </c>
      <c r="C88" s="2" t="str">
        <f ca="1">IFERROR(OFFSET(Assign!$B$33,MATCH($B88,Assign!$F$33:$F$56,0)-1,0),"")</f>
        <v/>
      </c>
      <c r="D88" s="18" t="str">
        <f ca="1">IFERROR(OFFSET(Assign!$C$33,MATCH($B88,Assign!$F$33:$F$56,0)-1,0),"")</f>
        <v/>
      </c>
    </row>
    <row r="89" spans="2:4">
      <c r="B89" s="2">
        <v>88</v>
      </c>
      <c r="C89" s="2" t="str">
        <f ca="1">IFERROR(OFFSET(Assign!$B$33,MATCH($B89,Assign!$F$33:$F$56,0)-1,0),"")</f>
        <v/>
      </c>
      <c r="D89" s="18" t="str">
        <f ca="1">IFERROR(OFFSET(Assign!$C$33,MATCH($B89,Assign!$F$33:$F$56,0)-1,0),"")</f>
        <v/>
      </c>
    </row>
    <row r="90" spans="2:4">
      <c r="B90" s="2">
        <v>89</v>
      </c>
      <c r="C90" s="2" t="str">
        <f ca="1">IFERROR(OFFSET(Assign!$B$33,MATCH($B90,Assign!$F$33:$F$56,0)-1,0),"")</f>
        <v/>
      </c>
      <c r="D90" s="18" t="str">
        <f ca="1">IFERROR(OFFSET(Assign!$C$33,MATCH($B90,Assign!$F$33:$F$56,0)-1,0),"")</f>
        <v/>
      </c>
    </row>
    <row r="91" spans="2:4">
      <c r="B91" s="2">
        <v>90</v>
      </c>
      <c r="C91" s="2" t="str">
        <f ca="1">IFERROR(OFFSET(Assign!$B$33,MATCH($B91,Assign!$F$33:$F$56,0)-1,0),"")</f>
        <v/>
      </c>
      <c r="D91" s="18" t="str">
        <f ca="1">IFERROR(OFFSET(Assign!$C$33,MATCH($B91,Assign!$F$33:$F$56,0)-1,0),"")</f>
        <v/>
      </c>
    </row>
    <row r="92" spans="2:4">
      <c r="B92" s="2">
        <v>91</v>
      </c>
      <c r="C92" s="2" t="str">
        <f ca="1">IFERROR(OFFSET(Assign!$B$33,MATCH($B92,Assign!$F$33:$F$56,0)-1,0),"")</f>
        <v/>
      </c>
      <c r="D92" s="18" t="str">
        <f ca="1">IFERROR(OFFSET(Assign!$C$33,MATCH($B92,Assign!$F$33:$F$56,0)-1,0),"")</f>
        <v/>
      </c>
    </row>
    <row r="93" spans="2:4">
      <c r="B93" s="2">
        <v>92</v>
      </c>
      <c r="C93" s="2" t="str">
        <f ca="1">IFERROR(OFFSET(Assign!$B$33,MATCH($B93,Assign!$F$33:$F$56,0)-1,0),"")</f>
        <v/>
      </c>
      <c r="D93" s="18" t="str">
        <f ca="1">IFERROR(OFFSET(Assign!$C$33,MATCH($B93,Assign!$F$33:$F$56,0)-1,0),"")</f>
        <v/>
      </c>
    </row>
    <row r="94" spans="2:4">
      <c r="B94" s="2">
        <v>93</v>
      </c>
      <c r="C94" s="2" t="str">
        <f ca="1">IFERROR(OFFSET(Assign!$B$33,MATCH($B94,Assign!$F$33:$F$56,0)-1,0),"")</f>
        <v/>
      </c>
      <c r="D94" s="18" t="str">
        <f ca="1">IFERROR(OFFSET(Assign!$C$33,MATCH($B94,Assign!$F$33:$F$56,0)-1,0),"")</f>
        <v/>
      </c>
    </row>
    <row r="95" spans="2:4">
      <c r="B95" s="2">
        <v>94</v>
      </c>
      <c r="C95" s="2" t="str">
        <f ca="1">IFERROR(OFFSET(Assign!$B$33,MATCH($B95,Assign!$F$33:$F$56,0)-1,0),"")</f>
        <v/>
      </c>
      <c r="D95" s="18" t="str">
        <f ca="1">IFERROR(OFFSET(Assign!$C$33,MATCH($B95,Assign!$F$33:$F$56,0)-1,0),"")</f>
        <v/>
      </c>
    </row>
    <row r="96" spans="2:4">
      <c r="B96" s="2">
        <v>95</v>
      </c>
      <c r="C96" s="2" t="str">
        <f ca="1">IFERROR(OFFSET(Assign!$B$33,MATCH($B96,Assign!$F$33:$F$56,0)-1,0),"")</f>
        <v/>
      </c>
      <c r="D96" s="18" t="str">
        <f ca="1">IFERROR(OFFSET(Assign!$C$33,MATCH($B96,Assign!$F$33:$F$56,0)-1,0),"")</f>
        <v/>
      </c>
    </row>
    <row r="97" spans="2:4">
      <c r="B97" s="2">
        <v>96</v>
      </c>
      <c r="C97" s="2" t="str">
        <f ca="1">IFERROR(OFFSET(Assign!$B$33,MATCH($B97,Assign!$F$33:$F$56,0)-1,0),"")</f>
        <v/>
      </c>
      <c r="D97" s="18" t="str">
        <f ca="1">IFERROR(OFFSET(Assign!$C$33,MATCH($B97,Assign!$F$33:$F$56,0)-1,0),"")</f>
        <v/>
      </c>
    </row>
    <row r="98" spans="2:4">
      <c r="B98" s="2">
        <v>97</v>
      </c>
      <c r="C98" s="2" t="str">
        <f ca="1">IFERROR(OFFSET(Assign!$B$33,MATCH($B98,Assign!$F$33:$F$56,0)-1,0),"")</f>
        <v/>
      </c>
      <c r="D98" s="18" t="str">
        <f ca="1">IFERROR(OFFSET(Assign!$C$33,MATCH($B98,Assign!$F$33:$F$56,0)-1,0),"")</f>
        <v/>
      </c>
    </row>
    <row r="99" spans="2:4">
      <c r="B99" s="2">
        <v>98</v>
      </c>
      <c r="C99" s="2" t="str">
        <f ca="1">IFERROR(OFFSET(Assign!$B$33,MATCH($B99,Assign!$F$33:$F$56,0)-1,0),"")</f>
        <v/>
      </c>
      <c r="D99" s="18" t="str">
        <f ca="1">IFERROR(OFFSET(Assign!$C$33,MATCH($B99,Assign!$F$33:$F$56,0)-1,0),"")</f>
        <v/>
      </c>
    </row>
    <row r="100" spans="2:4">
      <c r="B100" s="2">
        <v>99</v>
      </c>
      <c r="C100" s="2" t="str">
        <f ca="1">IFERROR(OFFSET(Assign!$B$33,MATCH($B100,Assign!$F$33:$F$56,0)-1,0),"")</f>
        <v/>
      </c>
      <c r="D100" s="18" t="str">
        <f ca="1">IFERROR(OFFSET(Assign!$C$33,MATCH($B100,Assign!$F$33:$F$56,0)-1,0),"")</f>
        <v/>
      </c>
    </row>
    <row r="101" spans="2:4">
      <c r="B101" s="2">
        <v>100</v>
      </c>
      <c r="C101" s="2" t="str">
        <f ca="1">IFERROR(OFFSET(Assign!$B$33,MATCH($B101,Assign!$F$33:$F$56,0)-1,0),"")</f>
        <v/>
      </c>
      <c r="D101" s="18" t="str">
        <f ca="1">IFERROR(OFFSET(Assign!$C$33,MATCH($B101,Assign!$F$33:$F$56,0)-1,0),"")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G9" sqref="G9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9" style="2"/>
    <col min="6" max="6" width="10.25" style="2" customWidth="1"/>
    <col min="7" max="7" width="36" style="2" customWidth="1"/>
    <col min="8" max="16384" width="9" style="2"/>
  </cols>
  <sheetData>
    <row r="1" spans="2:7">
      <c r="B1" s="2" t="s">
        <v>79</v>
      </c>
      <c r="C1" s="2" t="s">
        <v>84</v>
      </c>
      <c r="D1" s="18" t="s">
        <v>25</v>
      </c>
      <c r="E1" s="2" t="s">
        <v>83</v>
      </c>
      <c r="F1" s="2" t="s">
        <v>192</v>
      </c>
      <c r="G1" s="2" t="s">
        <v>82</v>
      </c>
    </row>
    <row r="2" spans="2:7">
      <c r="B2" s="2">
        <v>1</v>
      </c>
      <c r="C2" s="2" t="str">
        <f ca="1">IFERROR(OFFSET(Assign!$B$58,MATCH($B2,Assign!$F$58:$F$76,0)-1,0),"")</f>
        <v/>
      </c>
      <c r="D2" s="18" t="str">
        <f ca="1">IFERROR(OFFSET(Assign!$C$58,MATCH($B2,Assign!$F$58:$F$76,0)-1,0),"")</f>
        <v/>
      </c>
    </row>
    <row r="3" spans="2:7">
      <c r="B3" s="2">
        <v>2</v>
      </c>
      <c r="C3" s="2" t="str">
        <f ca="1">IFERROR(OFFSET(Assign!$B$58,MATCH($B3,Assign!$F$58:$F$76,0)-1,0),"")</f>
        <v/>
      </c>
      <c r="D3" s="18" t="str">
        <f ca="1">IFERROR(OFFSET(Assign!$C$58,MATCH($B3,Assign!$F$58:$F$76,0)-1,0),"")</f>
        <v/>
      </c>
    </row>
    <row r="4" spans="2:7">
      <c r="B4" s="2">
        <v>3</v>
      </c>
      <c r="C4" s="2" t="str">
        <f ca="1">IFERROR(OFFSET(Assign!$B$58,MATCH($B4,Assign!$F$58:$F$76,0)-1,0),"")</f>
        <v/>
      </c>
      <c r="D4" s="18" t="str">
        <f ca="1">IFERROR(OFFSET(Assign!$C$58,MATCH($B4,Assign!$F$58:$F$76,0)-1,0),"")</f>
        <v/>
      </c>
    </row>
    <row r="5" spans="2:7">
      <c r="B5" s="2">
        <v>4</v>
      </c>
      <c r="C5" s="2" t="str">
        <f ca="1">IFERROR(OFFSET(Assign!$B$58,MATCH($B5,Assign!$F$58:$F$76,0)-1,0),"")</f>
        <v/>
      </c>
      <c r="D5" s="18" t="str">
        <f ca="1">IFERROR(OFFSET(Assign!$C$58,MATCH($B5,Assign!$F$58:$F$76,0)-1,0),"")</f>
        <v/>
      </c>
    </row>
    <row r="6" spans="2:7">
      <c r="B6" s="2">
        <v>5</v>
      </c>
      <c r="C6" s="2" t="str">
        <f ca="1">IFERROR(OFFSET(Assign!$B$58,MATCH($B6,Assign!$F$58:$F$76,0)-1,0),"")</f>
        <v/>
      </c>
      <c r="D6" s="18" t="str">
        <f ca="1">IFERROR(OFFSET(Assign!$C$58,MATCH($B6,Assign!$F$58:$F$76,0)-1,0),"")</f>
        <v/>
      </c>
    </row>
    <row r="7" spans="2:7">
      <c r="B7" s="2">
        <v>6</v>
      </c>
      <c r="C7" s="2" t="str">
        <f ca="1">IFERROR(OFFSET(Assign!$B$58,MATCH($B7,Assign!$F$58:$F$76,0)-1,0),"")</f>
        <v/>
      </c>
      <c r="D7" s="18" t="str">
        <f ca="1">IFERROR(OFFSET(Assign!$C$58,MATCH($B7,Assign!$F$58:$F$76,0)-1,0),"")</f>
        <v/>
      </c>
    </row>
    <row r="8" spans="2:7">
      <c r="B8" s="2">
        <v>7</v>
      </c>
      <c r="C8" s="2" t="str">
        <f ca="1">IFERROR(OFFSET(Assign!$B$58,MATCH($B8,Assign!$F$58:$F$76,0)-1,0),"")</f>
        <v/>
      </c>
      <c r="D8" s="18" t="str">
        <f ca="1">IFERROR(OFFSET(Assign!$C$58,MATCH($B8,Assign!$F$58:$F$76,0)-1,0),"")</f>
        <v/>
      </c>
    </row>
    <row r="9" spans="2:7">
      <c r="B9" s="2">
        <v>8</v>
      </c>
      <c r="C9" s="2" t="str">
        <f ca="1">IFERROR(OFFSET(Assign!$B$58,MATCH($B9,Assign!$F$58:$F$76,0)-1,0),"")</f>
        <v/>
      </c>
      <c r="D9" s="18" t="str">
        <f ca="1">IFERROR(OFFSET(Assign!$C$58,MATCH($B9,Assign!$F$58:$F$76,0)-1,0),"")</f>
        <v/>
      </c>
    </row>
    <row r="10" spans="2:7">
      <c r="B10" s="2">
        <v>9</v>
      </c>
      <c r="C10" s="2" t="str">
        <f ca="1">IFERROR(OFFSET(Assign!$B$58,MATCH($B10,Assign!$F$58:$F$76,0)-1,0),"")</f>
        <v/>
      </c>
      <c r="D10" s="18" t="str">
        <f ca="1">IFERROR(OFFSET(Assign!$C$58,MATCH($B10,Assign!$F$58:$F$76,0)-1,0),"")</f>
        <v/>
      </c>
    </row>
    <row r="11" spans="2:7">
      <c r="B11" s="2">
        <v>10</v>
      </c>
      <c r="C11" s="2" t="str">
        <f ca="1">IFERROR(OFFSET(Assign!$B$58,MATCH($B11,Assign!$F$58:$F$76,0)-1,0),"")</f>
        <v/>
      </c>
      <c r="D11" s="18" t="str">
        <f ca="1">IFERROR(OFFSET(Assign!$C$58,MATCH($B11,Assign!$F$58:$F$76,0)-1,0),"")</f>
        <v/>
      </c>
    </row>
    <row r="12" spans="2:7">
      <c r="B12" s="2">
        <v>11</v>
      </c>
      <c r="C12" s="2" t="str">
        <f ca="1">IFERROR(OFFSET(Assign!$B$58,MATCH($B12,Assign!$F$58:$F$76,0)-1,0),"")</f>
        <v/>
      </c>
      <c r="D12" s="18" t="str">
        <f ca="1">IFERROR(OFFSET(Assign!$C$58,MATCH($B12,Assign!$F$58:$F$76,0)-1,0),"")</f>
        <v/>
      </c>
    </row>
    <row r="13" spans="2:7">
      <c r="B13" s="2">
        <v>12</v>
      </c>
      <c r="C13" s="2" t="str">
        <f ca="1">IFERROR(OFFSET(Assign!$B$58,MATCH($B13,Assign!$F$58:$F$76,0)-1,0),"")</f>
        <v/>
      </c>
      <c r="D13" s="18" t="str">
        <f ca="1">IFERROR(OFFSET(Assign!$C$58,MATCH($B13,Assign!$F$58:$F$76,0)-1,0),"")</f>
        <v/>
      </c>
    </row>
    <row r="14" spans="2:7">
      <c r="B14" s="2">
        <v>13</v>
      </c>
      <c r="C14" s="2" t="str">
        <f ca="1">IFERROR(OFFSET(Assign!$B$58,MATCH($B14,Assign!$F$58:$F$76,0)-1,0),"")</f>
        <v/>
      </c>
      <c r="D14" s="18" t="str">
        <f ca="1">IFERROR(OFFSET(Assign!$C$58,MATCH($B14,Assign!$F$58:$F$76,0)-1,0),"")</f>
        <v/>
      </c>
    </row>
    <row r="15" spans="2:7">
      <c r="B15" s="2">
        <v>14</v>
      </c>
      <c r="C15" s="2" t="str">
        <f ca="1">IFERROR(OFFSET(Assign!$B$58,MATCH($B15,Assign!$F$58:$F$76,0)-1,0),"")</f>
        <v/>
      </c>
      <c r="D15" s="18" t="str">
        <f ca="1">IFERROR(OFFSET(Assign!$C$58,MATCH($B15,Assign!$F$58:$F$76,0)-1,0),"")</f>
        <v/>
      </c>
    </row>
    <row r="16" spans="2:7">
      <c r="B16" s="2">
        <v>15</v>
      </c>
      <c r="C16" s="2" t="str">
        <f ca="1">IFERROR(OFFSET(Assign!$B$58,MATCH($B16,Assign!$F$58:$F$76,0)-1,0),"")</f>
        <v/>
      </c>
      <c r="D16" s="18" t="str">
        <f ca="1">IFERROR(OFFSET(Assign!$C$58,MATCH($B16,Assign!$F$58:$F$76,0)-1,0),"")</f>
        <v/>
      </c>
    </row>
    <row r="17" spans="2:4">
      <c r="B17" s="2">
        <v>16</v>
      </c>
      <c r="C17" s="2" t="str">
        <f ca="1">IFERROR(OFFSET(Assign!$B$58,MATCH($B17,Assign!$F$58:$F$76,0)-1,0),"")</f>
        <v/>
      </c>
      <c r="D17" s="18" t="str">
        <f ca="1">IFERROR(OFFSET(Assign!$C$58,MATCH($B17,Assign!$F$58:$F$76,0)-1,0),"")</f>
        <v/>
      </c>
    </row>
    <row r="18" spans="2:4">
      <c r="B18" s="2">
        <v>17</v>
      </c>
      <c r="C18" s="2" t="str">
        <f ca="1">IFERROR(OFFSET(Assign!$B$58,MATCH($B18,Assign!$F$58:$F$76,0)-1,0),"")</f>
        <v/>
      </c>
      <c r="D18" s="18" t="str">
        <f ca="1">IFERROR(OFFSET(Assign!$C$58,MATCH($B18,Assign!$F$58:$F$76,0)-1,0),"")</f>
        <v/>
      </c>
    </row>
    <row r="19" spans="2:4">
      <c r="B19" s="2">
        <v>18</v>
      </c>
      <c r="C19" s="2" t="str">
        <f ca="1">IFERROR(OFFSET(Assign!$B$58,MATCH($B19,Assign!$F$58:$F$76,0)-1,0),"")</f>
        <v/>
      </c>
      <c r="D19" s="18" t="str">
        <f ca="1">IFERROR(OFFSET(Assign!$C$58,MATCH($B19,Assign!$F$58:$F$76,0)-1,0),"")</f>
        <v/>
      </c>
    </row>
    <row r="20" spans="2:4">
      <c r="B20" s="2">
        <v>19</v>
      </c>
      <c r="C20" s="2" t="str">
        <f ca="1">IFERROR(OFFSET(Assign!$B$58,MATCH($B20,Assign!$F$58:$F$76,0)-1,0),"")</f>
        <v/>
      </c>
      <c r="D20" s="18" t="str">
        <f ca="1">IFERROR(OFFSET(Assign!$C$58,MATCH($B20,Assign!$F$58:$F$76,0)-1,0),"")</f>
        <v/>
      </c>
    </row>
    <row r="21" spans="2:4">
      <c r="B21" s="2">
        <v>20</v>
      </c>
      <c r="C21" s="2" t="str">
        <f ca="1">IFERROR(OFFSET(Assign!$B$58,MATCH($B21,Assign!$F$58:$F$76,0)-1,0),"")</f>
        <v/>
      </c>
      <c r="D21" s="18" t="str">
        <f ca="1">IFERROR(OFFSET(Assign!$C$58,MATCH($B21,Assign!$F$58:$F$76,0)-1,0),"")</f>
        <v/>
      </c>
    </row>
    <row r="22" spans="2:4">
      <c r="B22" s="2">
        <v>21</v>
      </c>
      <c r="C22" s="2" t="str">
        <f ca="1">IFERROR(OFFSET(Assign!$B$58,MATCH($B22,Assign!$F$58:$F$76,0)-1,0),"")</f>
        <v/>
      </c>
      <c r="D22" s="18" t="str">
        <f ca="1">IFERROR(OFFSET(Assign!$C$58,MATCH($B22,Assign!$F$58:$F$76,0)-1,0),"")</f>
        <v/>
      </c>
    </row>
    <row r="23" spans="2:4">
      <c r="B23" s="2">
        <v>22</v>
      </c>
      <c r="C23" s="2" t="str">
        <f ca="1">IFERROR(OFFSET(Assign!$B$58,MATCH($B23,Assign!$F$58:$F$76,0)-1,0),"")</f>
        <v/>
      </c>
      <c r="D23" s="18" t="str">
        <f ca="1">IFERROR(OFFSET(Assign!$C$58,MATCH($B23,Assign!$F$58:$F$76,0)-1,0),"")</f>
        <v/>
      </c>
    </row>
    <row r="24" spans="2:4">
      <c r="B24" s="2">
        <v>23</v>
      </c>
      <c r="C24" s="2" t="str">
        <f ca="1">IFERROR(OFFSET(Assign!$B$58,MATCH($B24,Assign!$F$58:$F$76,0)-1,0),"")</f>
        <v/>
      </c>
      <c r="D24" s="18" t="str">
        <f ca="1">IFERROR(OFFSET(Assign!$C$58,MATCH($B24,Assign!$F$58:$F$76,0)-1,0),"")</f>
        <v/>
      </c>
    </row>
    <row r="25" spans="2:4">
      <c r="B25" s="2">
        <v>24</v>
      </c>
      <c r="C25" s="2" t="str">
        <f ca="1">IFERROR(OFFSET(Assign!$B$58,MATCH($B25,Assign!$F$58:$F$76,0)-1,0),"")</f>
        <v/>
      </c>
      <c r="D25" s="18" t="str">
        <f ca="1">IFERROR(OFFSET(Assign!$C$58,MATCH($B25,Assign!$F$58:$F$76,0)-1,0),"")</f>
        <v/>
      </c>
    </row>
    <row r="26" spans="2:4">
      <c r="B26" s="2">
        <v>25</v>
      </c>
      <c r="C26" s="2" t="str">
        <f ca="1">IFERROR(OFFSET(Assign!$B$58,MATCH($B26,Assign!$F$58:$F$76,0)-1,0),"")</f>
        <v/>
      </c>
      <c r="D26" s="18" t="str">
        <f ca="1">IFERROR(OFFSET(Assign!$C$58,MATCH($B26,Assign!$F$58:$F$76,0)-1,0),"")</f>
        <v/>
      </c>
    </row>
    <row r="27" spans="2:4">
      <c r="B27" s="2">
        <v>26</v>
      </c>
      <c r="C27" s="2" t="str">
        <f ca="1">IFERROR(OFFSET(Assign!$B$58,MATCH($B27,Assign!$F$58:$F$76,0)-1,0),"")</f>
        <v/>
      </c>
      <c r="D27" s="18" t="str">
        <f ca="1">IFERROR(OFFSET(Assign!$C$58,MATCH($B27,Assign!$F$58:$F$76,0)-1,0),"")</f>
        <v/>
      </c>
    </row>
    <row r="28" spans="2:4">
      <c r="B28" s="2">
        <v>27</v>
      </c>
      <c r="C28" s="2" t="str">
        <f ca="1">IFERROR(OFFSET(Assign!$B$58,MATCH($B28,Assign!$F$58:$F$76,0)-1,0),"")</f>
        <v/>
      </c>
      <c r="D28" s="18" t="str">
        <f ca="1">IFERROR(OFFSET(Assign!$C$58,MATCH($B28,Assign!$F$58:$F$76,0)-1,0),"")</f>
        <v/>
      </c>
    </row>
    <row r="29" spans="2:4">
      <c r="B29" s="2">
        <v>28</v>
      </c>
      <c r="C29" s="2" t="str">
        <f ca="1">IFERROR(OFFSET(Assign!$B$58,MATCH($B29,Assign!$F$58:$F$76,0)-1,0),"")</f>
        <v/>
      </c>
      <c r="D29" s="18" t="str">
        <f ca="1">IFERROR(OFFSET(Assign!$C$58,MATCH($B29,Assign!$F$58:$F$76,0)-1,0),"")</f>
        <v/>
      </c>
    </row>
    <row r="30" spans="2:4">
      <c r="B30" s="2">
        <v>29</v>
      </c>
      <c r="C30" s="2" t="str">
        <f ca="1">IFERROR(OFFSET(Assign!$B$58,MATCH($B30,Assign!$F$58:$F$76,0)-1,0),"")</f>
        <v/>
      </c>
      <c r="D30" s="18" t="str">
        <f ca="1">IFERROR(OFFSET(Assign!$C$58,MATCH($B30,Assign!$F$58:$F$76,0)-1,0),"")</f>
        <v/>
      </c>
    </row>
    <row r="31" spans="2:4">
      <c r="B31" s="2">
        <v>30</v>
      </c>
      <c r="C31" s="2" t="str">
        <f ca="1">IFERROR(OFFSET(Assign!$B$58,MATCH($B31,Assign!$F$58:$F$76,0)-1,0),"")</f>
        <v/>
      </c>
      <c r="D31" s="18" t="str">
        <f ca="1">IFERROR(OFFSET(Assign!$C$58,MATCH($B31,Assign!$F$58:$F$76,0)-1,0),"")</f>
        <v/>
      </c>
    </row>
    <row r="32" spans="2:4">
      <c r="B32" s="2">
        <v>31</v>
      </c>
      <c r="C32" s="2" t="str">
        <f ca="1">IFERROR(OFFSET(Assign!$B$58,MATCH($B32,Assign!$F$58:$F$76,0)-1,0),"")</f>
        <v/>
      </c>
      <c r="D32" s="18" t="str">
        <f ca="1">IFERROR(OFFSET(Assign!$C$58,MATCH($B32,Assign!$F$58:$F$76,0)-1,0),"")</f>
        <v/>
      </c>
    </row>
    <row r="33" spans="2:4">
      <c r="B33" s="2">
        <v>32</v>
      </c>
      <c r="C33" s="2" t="str">
        <f ca="1">IFERROR(OFFSET(Assign!$B$58,MATCH($B33,Assign!$F$58:$F$76,0)-1,0),"")</f>
        <v/>
      </c>
      <c r="D33" s="18" t="str">
        <f ca="1">IFERROR(OFFSET(Assign!$C$58,MATCH($B33,Assign!$F$58:$F$76,0)-1,0),"")</f>
        <v/>
      </c>
    </row>
    <row r="34" spans="2:4">
      <c r="B34" s="2">
        <v>33</v>
      </c>
      <c r="C34" s="2" t="str">
        <f ca="1">IFERROR(OFFSET(Assign!$B$58,MATCH($B34,Assign!$F$58:$F$76,0)-1,0),"")</f>
        <v/>
      </c>
      <c r="D34" s="18" t="str">
        <f ca="1">IFERROR(OFFSET(Assign!$C$58,MATCH($B34,Assign!$F$58:$F$76,0)-1,0),"")</f>
        <v/>
      </c>
    </row>
    <row r="35" spans="2:4">
      <c r="B35" s="2">
        <v>34</v>
      </c>
      <c r="C35" s="2" t="str">
        <f ca="1">IFERROR(OFFSET(Assign!$B$58,MATCH($B35,Assign!$F$58:$F$76,0)-1,0),"")</f>
        <v/>
      </c>
      <c r="D35" s="18" t="str">
        <f ca="1">IFERROR(OFFSET(Assign!$C$58,MATCH($B35,Assign!$F$58:$F$76,0)-1,0),"")</f>
        <v/>
      </c>
    </row>
    <row r="36" spans="2:4">
      <c r="B36" s="2">
        <v>35</v>
      </c>
      <c r="C36" s="2" t="str">
        <f ca="1">IFERROR(OFFSET(Assign!$B$58,MATCH($B36,Assign!$F$58:$F$76,0)-1,0),"")</f>
        <v/>
      </c>
      <c r="D36" s="18" t="str">
        <f ca="1">IFERROR(OFFSET(Assign!$C$58,MATCH($B36,Assign!$F$58:$F$76,0)-1,0),"")</f>
        <v/>
      </c>
    </row>
    <row r="37" spans="2:4">
      <c r="B37" s="2">
        <v>36</v>
      </c>
      <c r="C37" s="2" t="str">
        <f ca="1">IFERROR(OFFSET(Assign!$B$58,MATCH($B37,Assign!$F$58:$F$76,0)-1,0),"")</f>
        <v/>
      </c>
      <c r="D37" s="18" t="str">
        <f ca="1">IFERROR(OFFSET(Assign!$C$58,MATCH($B37,Assign!$F$58:$F$76,0)-1,0),"")</f>
        <v/>
      </c>
    </row>
    <row r="38" spans="2:4">
      <c r="B38" s="2">
        <v>37</v>
      </c>
      <c r="C38" s="2" t="str">
        <f ca="1">IFERROR(OFFSET(Assign!$B$58,MATCH($B38,Assign!$F$58:$F$76,0)-1,0),"")</f>
        <v/>
      </c>
      <c r="D38" s="18" t="str">
        <f ca="1">IFERROR(OFFSET(Assign!$C$58,MATCH($B38,Assign!$F$58:$F$76,0)-1,0),"")</f>
        <v/>
      </c>
    </row>
    <row r="39" spans="2:4">
      <c r="B39" s="2">
        <v>38</v>
      </c>
      <c r="C39" s="2" t="str">
        <f ca="1">IFERROR(OFFSET(Assign!$B$58,MATCH($B39,Assign!$F$58:$F$76,0)-1,0),"")</f>
        <v/>
      </c>
      <c r="D39" s="18" t="str">
        <f ca="1">IFERROR(OFFSET(Assign!$C$58,MATCH($B39,Assign!$F$58:$F$76,0)-1,0),"")</f>
        <v/>
      </c>
    </row>
    <row r="40" spans="2:4">
      <c r="B40" s="2">
        <v>39</v>
      </c>
      <c r="C40" s="2" t="str">
        <f ca="1">IFERROR(OFFSET(Assign!$B$58,MATCH($B40,Assign!$F$58:$F$76,0)-1,0),"")</f>
        <v/>
      </c>
      <c r="D40" s="18" t="str">
        <f ca="1">IFERROR(OFFSET(Assign!$C$58,MATCH($B40,Assign!$F$58:$F$76,0)-1,0),"")</f>
        <v/>
      </c>
    </row>
    <row r="41" spans="2:4">
      <c r="B41" s="2">
        <v>40</v>
      </c>
      <c r="C41" s="2" t="str">
        <f ca="1">IFERROR(OFFSET(Assign!$B$58,MATCH($B41,Assign!$F$58:$F$76,0)-1,0),"")</f>
        <v/>
      </c>
      <c r="D41" s="18" t="str">
        <f ca="1">IFERROR(OFFSET(Assign!$C$58,MATCH($B41,Assign!$F$58:$F$76,0)-1,0),"")</f>
        <v/>
      </c>
    </row>
    <row r="42" spans="2:4">
      <c r="B42" s="2">
        <v>41</v>
      </c>
      <c r="C42" s="2" t="str">
        <f ca="1">IFERROR(OFFSET(Assign!$B$58,MATCH($B42,Assign!$F$58:$F$76,0)-1,0),"")</f>
        <v/>
      </c>
      <c r="D42" s="18" t="str">
        <f ca="1">IFERROR(OFFSET(Assign!$C$58,MATCH($B42,Assign!$F$58:$F$76,0)-1,0),"")</f>
        <v/>
      </c>
    </row>
    <row r="43" spans="2:4">
      <c r="B43" s="2">
        <v>42</v>
      </c>
      <c r="C43" s="2" t="str">
        <f ca="1">IFERROR(OFFSET(Assign!$B$58,MATCH($B43,Assign!$F$58:$F$76,0)-1,0),"")</f>
        <v/>
      </c>
      <c r="D43" s="18" t="str">
        <f ca="1">IFERROR(OFFSET(Assign!$C$58,MATCH($B43,Assign!$F$58:$F$76,0)-1,0),"")</f>
        <v/>
      </c>
    </row>
    <row r="44" spans="2:4">
      <c r="B44" s="2">
        <v>43</v>
      </c>
      <c r="C44" s="2" t="str">
        <f ca="1">IFERROR(OFFSET(Assign!$B$58,MATCH($B44,Assign!$F$58:$F$76,0)-1,0),"")</f>
        <v/>
      </c>
      <c r="D44" s="18" t="str">
        <f ca="1">IFERROR(OFFSET(Assign!$C$58,MATCH($B44,Assign!$F$58:$F$76,0)-1,0),"")</f>
        <v/>
      </c>
    </row>
    <row r="45" spans="2:4">
      <c r="B45" s="2">
        <v>44</v>
      </c>
      <c r="C45" s="2" t="str">
        <f ca="1">IFERROR(OFFSET(Assign!$B$58,MATCH($B45,Assign!$F$58:$F$76,0)-1,0),"")</f>
        <v/>
      </c>
      <c r="D45" s="18" t="str">
        <f ca="1">IFERROR(OFFSET(Assign!$C$58,MATCH($B45,Assign!$F$58:$F$76,0)-1,0),"")</f>
        <v/>
      </c>
    </row>
    <row r="46" spans="2:4">
      <c r="B46" s="2">
        <v>45</v>
      </c>
      <c r="C46" s="2" t="str">
        <f ca="1">IFERROR(OFFSET(Assign!$B$58,MATCH($B46,Assign!$F$58:$F$76,0)-1,0),"")</f>
        <v/>
      </c>
      <c r="D46" s="18" t="str">
        <f ca="1">IFERROR(OFFSET(Assign!$C$58,MATCH($B46,Assign!$F$58:$F$76,0)-1,0),"")</f>
        <v/>
      </c>
    </row>
    <row r="47" spans="2:4">
      <c r="B47" s="2">
        <v>46</v>
      </c>
      <c r="C47" s="2" t="str">
        <f ca="1">IFERROR(OFFSET(Assign!$B$58,MATCH($B47,Assign!$F$58:$F$76,0)-1,0),"")</f>
        <v/>
      </c>
      <c r="D47" s="18" t="str">
        <f ca="1">IFERROR(OFFSET(Assign!$C$58,MATCH($B47,Assign!$F$58:$F$76,0)-1,0),"")</f>
        <v/>
      </c>
    </row>
    <row r="48" spans="2:4">
      <c r="B48" s="2">
        <v>47</v>
      </c>
      <c r="C48" s="2" t="str">
        <f ca="1">IFERROR(OFFSET(Assign!$B$58,MATCH($B48,Assign!$F$58:$F$76,0)-1,0),"")</f>
        <v/>
      </c>
      <c r="D48" s="18" t="str">
        <f ca="1">IFERROR(OFFSET(Assign!$C$58,MATCH($B48,Assign!$F$58:$F$76,0)-1,0),"")</f>
        <v/>
      </c>
    </row>
    <row r="49" spans="2:4">
      <c r="B49" s="2">
        <v>48</v>
      </c>
      <c r="C49" s="2" t="str">
        <f ca="1">IFERROR(OFFSET(Assign!$B$58,MATCH($B49,Assign!$F$58:$F$76,0)-1,0),"")</f>
        <v/>
      </c>
      <c r="D49" s="18" t="str">
        <f ca="1">IFERROR(OFFSET(Assign!$C$58,MATCH($B49,Assign!$F$58:$F$76,0)-1,0),"")</f>
        <v/>
      </c>
    </row>
    <row r="50" spans="2:4">
      <c r="B50" s="2">
        <v>49</v>
      </c>
      <c r="C50" s="2" t="str">
        <f ca="1">IFERROR(OFFSET(Assign!$B$58,MATCH($B50,Assign!$F$58:$F$76,0)-1,0),"")</f>
        <v/>
      </c>
      <c r="D50" s="18" t="str">
        <f ca="1">IFERROR(OFFSET(Assign!$C$58,MATCH($B50,Assign!$F$58:$F$76,0)-1,0),"")</f>
        <v/>
      </c>
    </row>
    <row r="51" spans="2:4">
      <c r="B51" s="2">
        <v>50</v>
      </c>
      <c r="C51" s="2" t="str">
        <f ca="1">IFERROR(OFFSET(Assign!$B$58,MATCH($B51,Assign!$F$58:$F$76,0)-1,0),"")</f>
        <v/>
      </c>
      <c r="D51" s="18" t="str">
        <f ca="1">IFERROR(OFFSET(Assign!$C$58,MATCH($B51,Assign!$F$58:$F$76,0)-1,0),"")</f>
        <v/>
      </c>
    </row>
    <row r="52" spans="2:4">
      <c r="B52" s="2">
        <v>51</v>
      </c>
      <c r="C52" s="2" t="str">
        <f ca="1">IFERROR(OFFSET(Assign!$B$58,MATCH($B52,Assign!$F$58:$F$76,0)-1,0),"")</f>
        <v/>
      </c>
      <c r="D52" s="18" t="str">
        <f ca="1">IFERROR(OFFSET(Assign!$C$58,MATCH($B52,Assign!$F$58:$F$76,0)-1,0),"")</f>
        <v/>
      </c>
    </row>
    <row r="53" spans="2:4">
      <c r="B53" s="2">
        <v>52</v>
      </c>
      <c r="C53" s="2" t="str">
        <f ca="1">IFERROR(OFFSET(Assign!$B$58,MATCH($B53,Assign!$F$58:$F$76,0)-1,0),"")</f>
        <v/>
      </c>
      <c r="D53" s="18" t="str">
        <f ca="1">IFERROR(OFFSET(Assign!$C$58,MATCH($B53,Assign!$F$58:$F$76,0)-1,0),"")</f>
        <v/>
      </c>
    </row>
    <row r="54" spans="2:4">
      <c r="B54" s="2">
        <v>53</v>
      </c>
      <c r="C54" s="2" t="str">
        <f ca="1">IFERROR(OFFSET(Assign!$B$58,MATCH($B54,Assign!$F$58:$F$76,0)-1,0),"")</f>
        <v/>
      </c>
      <c r="D54" s="18" t="str">
        <f ca="1">IFERROR(OFFSET(Assign!$C$58,MATCH($B54,Assign!$F$58:$F$76,0)-1,0),"")</f>
        <v/>
      </c>
    </row>
    <row r="55" spans="2:4">
      <c r="B55" s="2">
        <v>54</v>
      </c>
      <c r="C55" s="2" t="str">
        <f ca="1">IFERROR(OFFSET(Assign!$B$58,MATCH($B55,Assign!$F$58:$F$76,0)-1,0),"")</f>
        <v/>
      </c>
      <c r="D55" s="18" t="str">
        <f ca="1">IFERROR(OFFSET(Assign!$C$58,MATCH($B55,Assign!$F$58:$F$76,0)-1,0),"")</f>
        <v/>
      </c>
    </row>
    <row r="56" spans="2:4">
      <c r="B56" s="2">
        <v>55</v>
      </c>
      <c r="C56" s="2" t="str">
        <f ca="1">IFERROR(OFFSET(Assign!$B$58,MATCH($B56,Assign!$F$58:$F$76,0)-1,0),"")</f>
        <v/>
      </c>
      <c r="D56" s="18" t="str">
        <f ca="1">IFERROR(OFFSET(Assign!$C$58,MATCH($B56,Assign!$F$58:$F$76,0)-1,0),"")</f>
        <v/>
      </c>
    </row>
    <row r="57" spans="2:4">
      <c r="B57" s="2">
        <v>56</v>
      </c>
      <c r="C57" s="2" t="str">
        <f ca="1">IFERROR(OFFSET(Assign!$B$58,MATCH($B57,Assign!$F$58:$F$76,0)-1,0),"")</f>
        <v/>
      </c>
      <c r="D57" s="18" t="str">
        <f ca="1">IFERROR(OFFSET(Assign!$C$58,MATCH($B57,Assign!$F$58:$F$76,0)-1,0),"")</f>
        <v/>
      </c>
    </row>
    <row r="58" spans="2:4">
      <c r="B58" s="2">
        <v>57</v>
      </c>
      <c r="C58" s="2" t="str">
        <f ca="1">IFERROR(OFFSET(Assign!$B$58,MATCH($B58,Assign!$F$58:$F$76,0)-1,0),"")</f>
        <v/>
      </c>
      <c r="D58" s="18" t="str">
        <f ca="1">IFERROR(OFFSET(Assign!$C$58,MATCH($B58,Assign!$F$58:$F$76,0)-1,0),"")</f>
        <v/>
      </c>
    </row>
    <row r="59" spans="2:4">
      <c r="B59" s="2">
        <v>58</v>
      </c>
      <c r="C59" s="2" t="str">
        <f ca="1">IFERROR(OFFSET(Assign!$B$58,MATCH($B59,Assign!$F$58:$F$76,0)-1,0),"")</f>
        <v/>
      </c>
      <c r="D59" s="18" t="str">
        <f ca="1">IFERROR(OFFSET(Assign!$C$58,MATCH($B59,Assign!$F$58:$F$76,0)-1,0),"")</f>
        <v/>
      </c>
    </row>
    <row r="60" spans="2:4">
      <c r="B60" s="2">
        <v>59</v>
      </c>
      <c r="C60" s="2" t="str">
        <f ca="1">IFERROR(OFFSET(Assign!$B$58,MATCH($B60,Assign!$F$58:$F$76,0)-1,0),"")</f>
        <v/>
      </c>
      <c r="D60" s="18" t="str">
        <f ca="1">IFERROR(OFFSET(Assign!$C$58,MATCH($B60,Assign!$F$58:$F$76,0)-1,0),"")</f>
        <v/>
      </c>
    </row>
    <row r="61" spans="2:4">
      <c r="B61" s="2">
        <v>60</v>
      </c>
      <c r="C61" s="2" t="str">
        <f ca="1">IFERROR(OFFSET(Assign!$B$58,MATCH($B61,Assign!$F$58:$F$76,0)-1,0),"")</f>
        <v/>
      </c>
      <c r="D61" s="18" t="str">
        <f ca="1">IFERROR(OFFSET(Assign!$C$58,MATCH($B61,Assign!$F$58:$F$76,0)-1,0),"")</f>
        <v/>
      </c>
    </row>
    <row r="62" spans="2:4">
      <c r="B62" s="2">
        <v>61</v>
      </c>
      <c r="C62" s="2" t="str">
        <f ca="1">IFERROR(OFFSET(Assign!$B$58,MATCH($B62,Assign!$F$58:$F$76,0)-1,0),"")</f>
        <v/>
      </c>
      <c r="D62" s="18" t="str">
        <f ca="1">IFERROR(OFFSET(Assign!$C$58,MATCH($B62,Assign!$F$58:$F$76,0)-1,0),"")</f>
        <v/>
      </c>
    </row>
    <row r="63" spans="2:4">
      <c r="B63" s="2">
        <v>62</v>
      </c>
      <c r="C63" s="2" t="str">
        <f ca="1">IFERROR(OFFSET(Assign!$B$58,MATCH($B63,Assign!$F$58:$F$76,0)-1,0),"")</f>
        <v/>
      </c>
      <c r="D63" s="18" t="str">
        <f ca="1">IFERROR(OFFSET(Assign!$C$58,MATCH($B63,Assign!$F$58:$F$76,0)-1,0),"")</f>
        <v/>
      </c>
    </row>
    <row r="64" spans="2:4">
      <c r="B64" s="2">
        <v>63</v>
      </c>
      <c r="C64" s="2" t="str">
        <f ca="1">IFERROR(OFFSET(Assign!$B$58,MATCH($B64,Assign!$F$58:$F$76,0)-1,0),"")</f>
        <v/>
      </c>
      <c r="D64" s="18" t="str">
        <f ca="1">IFERROR(OFFSET(Assign!$C$58,MATCH($B64,Assign!$F$58:$F$76,0)-1,0),"")</f>
        <v/>
      </c>
    </row>
    <row r="65" spans="2:4">
      <c r="B65" s="2">
        <v>64</v>
      </c>
      <c r="C65" s="2" t="str">
        <f ca="1">IFERROR(OFFSET(Assign!$B$58,MATCH($B65,Assign!$F$58:$F$76,0)-1,0),"")</f>
        <v/>
      </c>
      <c r="D65" s="18" t="str">
        <f ca="1">IFERROR(OFFSET(Assign!$C$58,MATCH($B65,Assign!$F$58:$F$76,0)-1,0),"")</f>
        <v/>
      </c>
    </row>
    <row r="66" spans="2:4">
      <c r="B66" s="2">
        <v>65</v>
      </c>
      <c r="C66" s="2" t="str">
        <f ca="1">IFERROR(OFFSET(Assign!$B$58,MATCH($B66,Assign!$F$58:$F$76,0)-1,0),"")</f>
        <v/>
      </c>
      <c r="D66" s="18" t="str">
        <f ca="1">IFERROR(OFFSET(Assign!$C$58,MATCH($B66,Assign!$F$58:$F$76,0)-1,0),"")</f>
        <v/>
      </c>
    </row>
    <row r="67" spans="2:4">
      <c r="B67" s="2">
        <v>66</v>
      </c>
      <c r="C67" s="2" t="str">
        <f ca="1">IFERROR(OFFSET(Assign!$B$58,MATCH($B67,Assign!$F$58:$F$76,0)-1,0),"")</f>
        <v/>
      </c>
      <c r="D67" s="18" t="str">
        <f ca="1">IFERROR(OFFSET(Assign!$C$58,MATCH($B67,Assign!$F$58:$F$76,0)-1,0),"")</f>
        <v/>
      </c>
    </row>
    <row r="68" spans="2:4">
      <c r="B68" s="2">
        <v>67</v>
      </c>
      <c r="C68" s="2" t="str">
        <f ca="1">IFERROR(OFFSET(Assign!$B$58,MATCH($B68,Assign!$F$58:$F$76,0)-1,0),"")</f>
        <v/>
      </c>
      <c r="D68" s="18" t="str">
        <f ca="1">IFERROR(OFFSET(Assign!$C$58,MATCH($B68,Assign!$F$58:$F$76,0)-1,0),"")</f>
        <v/>
      </c>
    </row>
    <row r="69" spans="2:4">
      <c r="B69" s="2">
        <v>68</v>
      </c>
      <c r="C69" s="2" t="str">
        <f ca="1">IFERROR(OFFSET(Assign!$B$58,MATCH($B69,Assign!$F$58:$F$76,0)-1,0),"")</f>
        <v/>
      </c>
      <c r="D69" s="18" t="str">
        <f ca="1">IFERROR(OFFSET(Assign!$C$58,MATCH($B69,Assign!$F$58:$F$76,0)-1,0),"")</f>
        <v/>
      </c>
    </row>
    <row r="70" spans="2:4">
      <c r="B70" s="2">
        <v>69</v>
      </c>
      <c r="C70" s="2" t="str">
        <f ca="1">IFERROR(OFFSET(Assign!$B$58,MATCH($B70,Assign!$F$58:$F$76,0)-1,0),"")</f>
        <v/>
      </c>
      <c r="D70" s="18" t="str">
        <f ca="1">IFERROR(OFFSET(Assign!$C$58,MATCH($B70,Assign!$F$58:$F$76,0)-1,0),"")</f>
        <v/>
      </c>
    </row>
    <row r="71" spans="2:4">
      <c r="B71" s="2">
        <v>70</v>
      </c>
      <c r="C71" s="2" t="str">
        <f ca="1">IFERROR(OFFSET(Assign!$B$58,MATCH($B71,Assign!$F$58:$F$76,0)-1,0),"")</f>
        <v/>
      </c>
      <c r="D71" s="18" t="str">
        <f ca="1">IFERROR(OFFSET(Assign!$C$58,MATCH($B71,Assign!$F$58:$F$76,0)-1,0),"")</f>
        <v/>
      </c>
    </row>
    <row r="72" spans="2:4">
      <c r="B72" s="2">
        <v>71</v>
      </c>
      <c r="C72" s="2" t="str">
        <f ca="1">IFERROR(OFFSET(Assign!$B$58,MATCH($B72,Assign!$F$58:$F$76,0)-1,0),"")</f>
        <v/>
      </c>
      <c r="D72" s="18" t="str">
        <f ca="1">IFERROR(OFFSET(Assign!$C$58,MATCH($B72,Assign!$F$58:$F$76,0)-1,0),"")</f>
        <v/>
      </c>
    </row>
    <row r="73" spans="2:4">
      <c r="B73" s="2">
        <v>72</v>
      </c>
      <c r="C73" s="2" t="str">
        <f ca="1">IFERROR(OFFSET(Assign!$B$58,MATCH($B73,Assign!$F$58:$F$76,0)-1,0),"")</f>
        <v/>
      </c>
      <c r="D73" s="18" t="str">
        <f ca="1">IFERROR(OFFSET(Assign!$C$58,MATCH($B73,Assign!$F$58:$F$76,0)-1,0),"")</f>
        <v/>
      </c>
    </row>
    <row r="74" spans="2:4">
      <c r="B74" s="2">
        <v>73</v>
      </c>
      <c r="C74" s="2" t="str">
        <f ca="1">IFERROR(OFFSET(Assign!$B$58,MATCH($B74,Assign!$F$58:$F$76,0)-1,0),"")</f>
        <v/>
      </c>
      <c r="D74" s="18" t="str">
        <f ca="1">IFERROR(OFFSET(Assign!$C$58,MATCH($B74,Assign!$F$58:$F$76,0)-1,0),"")</f>
        <v/>
      </c>
    </row>
    <row r="75" spans="2:4">
      <c r="B75" s="2">
        <v>74</v>
      </c>
      <c r="C75" s="2" t="str">
        <f ca="1">IFERROR(OFFSET(Assign!$B$58,MATCH($B75,Assign!$F$58:$F$76,0)-1,0),"")</f>
        <v/>
      </c>
      <c r="D75" s="18" t="str">
        <f ca="1">IFERROR(OFFSET(Assign!$C$58,MATCH($B75,Assign!$F$58:$F$76,0)-1,0),"")</f>
        <v/>
      </c>
    </row>
    <row r="76" spans="2:4">
      <c r="B76" s="2">
        <v>75</v>
      </c>
      <c r="C76" s="2" t="str">
        <f ca="1">IFERROR(OFFSET(Assign!$B$58,MATCH($B76,Assign!$F$58:$F$76,0)-1,0),"")</f>
        <v/>
      </c>
      <c r="D76" s="18" t="str">
        <f ca="1">IFERROR(OFFSET(Assign!$C$58,MATCH($B76,Assign!$F$58:$F$76,0)-1,0),"")</f>
        <v/>
      </c>
    </row>
    <row r="77" spans="2:4">
      <c r="B77" s="2">
        <v>76</v>
      </c>
      <c r="C77" s="2" t="str">
        <f ca="1">IFERROR(OFFSET(Assign!$B$58,MATCH($B77,Assign!$F$58:$F$76,0)-1,0),"")</f>
        <v/>
      </c>
      <c r="D77" s="18" t="str">
        <f ca="1">IFERROR(OFFSET(Assign!$C$58,MATCH($B77,Assign!$F$58:$F$76,0)-1,0),"")</f>
        <v/>
      </c>
    </row>
    <row r="78" spans="2:4">
      <c r="B78" s="2">
        <v>77</v>
      </c>
      <c r="C78" s="2" t="str">
        <f ca="1">IFERROR(OFFSET(Assign!$B$58,MATCH($B78,Assign!$F$58:$F$76,0)-1,0),"")</f>
        <v/>
      </c>
      <c r="D78" s="18" t="str">
        <f ca="1">IFERROR(OFFSET(Assign!$C$58,MATCH($B78,Assign!$F$58:$F$76,0)-1,0),"")</f>
        <v/>
      </c>
    </row>
    <row r="79" spans="2:4">
      <c r="B79" s="2">
        <v>78</v>
      </c>
      <c r="C79" s="2" t="str">
        <f ca="1">IFERROR(OFFSET(Assign!$B$58,MATCH($B79,Assign!$F$58:$F$76,0)-1,0),"")</f>
        <v/>
      </c>
      <c r="D79" s="18" t="str">
        <f ca="1">IFERROR(OFFSET(Assign!$C$58,MATCH($B79,Assign!$F$58:$F$76,0)-1,0),"")</f>
        <v/>
      </c>
    </row>
    <row r="80" spans="2:4">
      <c r="B80" s="2">
        <v>79</v>
      </c>
      <c r="C80" s="2" t="str">
        <f ca="1">IFERROR(OFFSET(Assign!$B$58,MATCH($B80,Assign!$F$58:$F$76,0)-1,0),"")</f>
        <v/>
      </c>
      <c r="D80" s="18" t="str">
        <f ca="1">IFERROR(OFFSET(Assign!$C$58,MATCH($B80,Assign!$F$58:$F$76,0)-1,0),"")</f>
        <v/>
      </c>
    </row>
    <row r="81" spans="2:4">
      <c r="B81" s="2">
        <v>80</v>
      </c>
      <c r="C81" s="2" t="str">
        <f ca="1">IFERROR(OFFSET(Assign!$B$58,MATCH($B81,Assign!$F$58:$F$76,0)-1,0),"")</f>
        <v/>
      </c>
      <c r="D81" s="18" t="str">
        <f ca="1">IFERROR(OFFSET(Assign!$C$58,MATCH($B81,Assign!$F$58:$F$76,0)-1,0),"")</f>
        <v/>
      </c>
    </row>
    <row r="82" spans="2:4">
      <c r="B82" s="2">
        <v>81</v>
      </c>
      <c r="C82" s="2" t="str">
        <f ca="1">IFERROR(OFFSET(Assign!$B$58,MATCH($B82,Assign!$F$58:$F$76,0)-1,0),"")</f>
        <v/>
      </c>
      <c r="D82" s="18" t="str">
        <f ca="1">IFERROR(OFFSET(Assign!$C$58,MATCH($B82,Assign!$F$58:$F$76,0)-1,0),"")</f>
        <v/>
      </c>
    </row>
    <row r="83" spans="2:4">
      <c r="B83" s="2">
        <v>82</v>
      </c>
      <c r="C83" s="2" t="str">
        <f ca="1">IFERROR(OFFSET(Assign!$B$58,MATCH($B83,Assign!$F$58:$F$76,0)-1,0),"")</f>
        <v/>
      </c>
      <c r="D83" s="18" t="str">
        <f ca="1">IFERROR(OFFSET(Assign!$C$58,MATCH($B83,Assign!$F$58:$F$76,0)-1,0),"")</f>
        <v/>
      </c>
    </row>
    <row r="84" spans="2:4">
      <c r="B84" s="2">
        <v>83</v>
      </c>
      <c r="C84" s="2" t="str">
        <f ca="1">IFERROR(OFFSET(Assign!$B$58,MATCH($B84,Assign!$F$58:$F$76,0)-1,0),"")</f>
        <v/>
      </c>
      <c r="D84" s="18" t="str">
        <f ca="1">IFERROR(OFFSET(Assign!$C$58,MATCH($B84,Assign!$F$58:$F$76,0)-1,0),"")</f>
        <v/>
      </c>
    </row>
    <row r="85" spans="2:4">
      <c r="B85" s="2">
        <v>84</v>
      </c>
      <c r="C85" s="2" t="str">
        <f ca="1">IFERROR(OFFSET(Assign!$B$58,MATCH($B85,Assign!$F$58:$F$76,0)-1,0),"")</f>
        <v/>
      </c>
      <c r="D85" s="18" t="str">
        <f ca="1">IFERROR(OFFSET(Assign!$C$58,MATCH($B85,Assign!$F$58:$F$76,0)-1,0),"")</f>
        <v/>
      </c>
    </row>
    <row r="86" spans="2:4">
      <c r="B86" s="2">
        <v>85</v>
      </c>
      <c r="C86" s="2" t="str">
        <f ca="1">IFERROR(OFFSET(Assign!$B$58,MATCH($B86,Assign!$F$58:$F$76,0)-1,0),"")</f>
        <v/>
      </c>
      <c r="D86" s="18" t="str">
        <f ca="1">IFERROR(OFFSET(Assign!$C$58,MATCH($B86,Assign!$F$58:$F$76,0)-1,0),"")</f>
        <v/>
      </c>
    </row>
    <row r="87" spans="2:4">
      <c r="B87" s="2">
        <v>86</v>
      </c>
      <c r="C87" s="2" t="str">
        <f ca="1">IFERROR(OFFSET(Assign!$B$58,MATCH($B87,Assign!$F$58:$F$76,0)-1,0),"")</f>
        <v/>
      </c>
      <c r="D87" s="18" t="str">
        <f ca="1">IFERROR(OFFSET(Assign!$C$58,MATCH($B87,Assign!$F$58:$F$76,0)-1,0),"")</f>
        <v/>
      </c>
    </row>
    <row r="88" spans="2:4">
      <c r="B88" s="2">
        <v>87</v>
      </c>
      <c r="C88" s="2" t="str">
        <f ca="1">IFERROR(OFFSET(Assign!$B$58,MATCH($B88,Assign!$F$58:$F$76,0)-1,0),"")</f>
        <v/>
      </c>
      <c r="D88" s="18" t="str">
        <f ca="1">IFERROR(OFFSET(Assign!$C$58,MATCH($B88,Assign!$F$58:$F$76,0)-1,0),"")</f>
        <v/>
      </c>
    </row>
    <row r="89" spans="2:4">
      <c r="B89" s="2">
        <v>88</v>
      </c>
      <c r="C89" s="2" t="str">
        <f ca="1">IFERROR(OFFSET(Assign!$B$58,MATCH($B89,Assign!$F$58:$F$76,0)-1,0),"")</f>
        <v/>
      </c>
      <c r="D89" s="18" t="str">
        <f ca="1">IFERROR(OFFSET(Assign!$C$58,MATCH($B89,Assign!$F$58:$F$76,0)-1,0),"")</f>
        <v/>
      </c>
    </row>
    <row r="90" spans="2:4">
      <c r="B90" s="2">
        <v>89</v>
      </c>
      <c r="C90" s="2" t="str">
        <f ca="1">IFERROR(OFFSET(Assign!$B$58,MATCH($B90,Assign!$F$58:$F$76,0)-1,0),"")</f>
        <v/>
      </c>
      <c r="D90" s="18" t="str">
        <f ca="1">IFERROR(OFFSET(Assign!$C$58,MATCH($B90,Assign!$F$58:$F$76,0)-1,0),"")</f>
        <v/>
      </c>
    </row>
    <row r="91" spans="2:4">
      <c r="B91" s="2">
        <v>90</v>
      </c>
      <c r="C91" s="2" t="str">
        <f ca="1">IFERROR(OFFSET(Assign!$B$58,MATCH($B91,Assign!$F$58:$F$76,0)-1,0),"")</f>
        <v/>
      </c>
      <c r="D91" s="18" t="str">
        <f ca="1">IFERROR(OFFSET(Assign!$C$58,MATCH($B91,Assign!$F$58:$F$76,0)-1,0),"")</f>
        <v/>
      </c>
    </row>
    <row r="92" spans="2:4">
      <c r="B92" s="2">
        <v>91</v>
      </c>
      <c r="C92" s="2" t="str">
        <f ca="1">IFERROR(OFFSET(Assign!$B$58,MATCH($B92,Assign!$F$58:$F$76,0)-1,0),"")</f>
        <v/>
      </c>
      <c r="D92" s="18" t="str">
        <f ca="1">IFERROR(OFFSET(Assign!$C$58,MATCH($B92,Assign!$F$58:$F$76,0)-1,0),"")</f>
        <v/>
      </c>
    </row>
    <row r="93" spans="2:4">
      <c r="B93" s="2">
        <v>92</v>
      </c>
      <c r="C93" s="2" t="str">
        <f ca="1">IFERROR(OFFSET(Assign!$B$58,MATCH($B93,Assign!$F$58:$F$76,0)-1,0),"")</f>
        <v/>
      </c>
      <c r="D93" s="18" t="str">
        <f ca="1">IFERROR(OFFSET(Assign!$C$58,MATCH($B93,Assign!$F$58:$F$76,0)-1,0),"")</f>
        <v/>
      </c>
    </row>
    <row r="94" spans="2:4">
      <c r="B94" s="2">
        <v>93</v>
      </c>
      <c r="C94" s="2" t="str">
        <f ca="1">IFERROR(OFFSET(Assign!$B$58,MATCH($B94,Assign!$F$58:$F$76,0)-1,0),"")</f>
        <v/>
      </c>
      <c r="D94" s="18" t="str">
        <f ca="1">IFERROR(OFFSET(Assign!$C$58,MATCH($B94,Assign!$F$58:$F$76,0)-1,0),"")</f>
        <v/>
      </c>
    </row>
    <row r="95" spans="2:4">
      <c r="B95" s="2">
        <v>94</v>
      </c>
      <c r="C95" s="2" t="str">
        <f ca="1">IFERROR(OFFSET(Assign!$B$58,MATCH($B95,Assign!$F$58:$F$76,0)-1,0),"")</f>
        <v/>
      </c>
      <c r="D95" s="18" t="str">
        <f ca="1">IFERROR(OFFSET(Assign!$C$58,MATCH($B95,Assign!$F$58:$F$76,0)-1,0),"")</f>
        <v/>
      </c>
    </row>
    <row r="96" spans="2:4">
      <c r="B96" s="2">
        <v>95</v>
      </c>
      <c r="C96" s="2" t="str">
        <f ca="1">IFERROR(OFFSET(Assign!$B$58,MATCH($B96,Assign!$F$58:$F$76,0)-1,0),"")</f>
        <v/>
      </c>
      <c r="D96" s="18" t="str">
        <f ca="1">IFERROR(OFFSET(Assign!$C$58,MATCH($B96,Assign!$F$58:$F$76,0)-1,0),"")</f>
        <v/>
      </c>
    </row>
    <row r="97" spans="2:4">
      <c r="B97" s="2">
        <v>96</v>
      </c>
      <c r="C97" s="2" t="str">
        <f ca="1">IFERROR(OFFSET(Assign!$B$58,MATCH($B97,Assign!$F$58:$F$76,0)-1,0),"")</f>
        <v/>
      </c>
      <c r="D97" s="18" t="str">
        <f ca="1">IFERROR(OFFSET(Assign!$C$58,MATCH($B97,Assign!$F$58:$F$76,0)-1,0),"")</f>
        <v/>
      </c>
    </row>
    <row r="98" spans="2:4">
      <c r="B98" s="2">
        <v>97</v>
      </c>
      <c r="C98" s="2" t="str">
        <f ca="1">IFERROR(OFFSET(Assign!$B$58,MATCH($B98,Assign!$F$58:$F$76,0)-1,0),"")</f>
        <v/>
      </c>
      <c r="D98" s="18" t="str">
        <f ca="1">IFERROR(OFFSET(Assign!$C$58,MATCH($B98,Assign!$F$58:$F$76,0)-1,0),"")</f>
        <v/>
      </c>
    </row>
    <row r="99" spans="2:4">
      <c r="B99" s="2">
        <v>98</v>
      </c>
      <c r="C99" s="2" t="str">
        <f ca="1">IFERROR(OFFSET(Assign!$B$58,MATCH($B99,Assign!$F$58:$F$76,0)-1,0),"")</f>
        <v/>
      </c>
      <c r="D99" s="18" t="str">
        <f ca="1">IFERROR(OFFSET(Assign!$C$58,MATCH($B99,Assign!$F$58:$F$76,0)-1,0),"")</f>
        <v/>
      </c>
    </row>
    <row r="100" spans="2:4">
      <c r="B100" s="2">
        <v>99</v>
      </c>
      <c r="C100" s="2" t="str">
        <f ca="1">IFERROR(OFFSET(Assign!$B$58,MATCH($B100,Assign!$F$58:$F$76,0)-1,0),"")</f>
        <v/>
      </c>
      <c r="D100" s="18" t="str">
        <f ca="1">IFERROR(OFFSET(Assign!$C$58,MATCH($B100,Assign!$F$58:$F$76,0)-1,0),"")</f>
        <v/>
      </c>
    </row>
    <row r="101" spans="2:4">
      <c r="B101" s="2">
        <v>100</v>
      </c>
      <c r="C101" s="2" t="str">
        <f ca="1">IFERROR(OFFSET(Assign!$B$58,MATCH($B101,Assign!$F$58:$F$76,0)-1,0),"")</f>
        <v/>
      </c>
      <c r="D101" s="18" t="str">
        <f ca="1">IFERROR(OFFSET(Assign!$C$58,MATCH($B101,Assign!$F$58:$F$76,0)-1,0),"")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G12" sqref="G12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8.875" style="2" bestFit="1" customWidth="1"/>
    <col min="6" max="6" width="10.25" style="2" customWidth="1"/>
    <col min="7" max="7" width="36" style="2" customWidth="1"/>
    <col min="8" max="16384" width="9" style="2"/>
  </cols>
  <sheetData>
    <row r="1" spans="2:7">
      <c r="B1" s="2" t="s">
        <v>79</v>
      </c>
      <c r="C1" s="2" t="s">
        <v>84</v>
      </c>
      <c r="D1" s="18" t="s">
        <v>25</v>
      </c>
      <c r="E1" s="2" t="s">
        <v>83</v>
      </c>
      <c r="F1" s="2" t="s">
        <v>192</v>
      </c>
      <c r="G1" s="2" t="s">
        <v>82</v>
      </c>
    </row>
    <row r="2" spans="2:7">
      <c r="B2" s="2">
        <v>1</v>
      </c>
      <c r="C2" s="2">
        <f ca="1">IFERROR(OFFSET(Assign!$B$78,MATCH($B2,Assign!$F$78:$F$80,0)-1,0),"")</f>
        <v>22</v>
      </c>
      <c r="D2" s="18" t="str">
        <f ca="1">IFERROR(OFFSET(Assign!$C$78,MATCH($B2,Assign!$F$78:$F$80,0)-1,0),"")</f>
        <v>A1/ DACB_OUT/ AIO232</v>
      </c>
      <c r="E2" s="2" t="s">
        <v>266</v>
      </c>
      <c r="F2" s="2" t="s">
        <v>224</v>
      </c>
      <c r="G2" s="2" t="s">
        <v>242</v>
      </c>
    </row>
    <row r="3" spans="2:7">
      <c r="B3" s="2">
        <v>2</v>
      </c>
      <c r="C3" s="2">
        <f ca="1">IFERROR(OFFSET(Assign!$B$78,MATCH($B3,Assign!$F$78:$F$80,0)-1,0),"")</f>
        <v>23</v>
      </c>
      <c r="D3" s="18" t="str">
        <f ca="1">IFERROR(OFFSET(Assign!$C$78,MATCH($B3,Assign!$F$78:$F$80,0)-1,0),"")</f>
        <v>A0/ B15/ C15/ DACA_OUT/ AIO231</v>
      </c>
      <c r="E3" s="2" t="s">
        <v>267</v>
      </c>
      <c r="F3" s="32" t="s">
        <v>224</v>
      </c>
      <c r="G3" s="32" t="s">
        <v>243</v>
      </c>
    </row>
    <row r="4" spans="2:7">
      <c r="B4" s="2">
        <v>3</v>
      </c>
      <c r="C4" s="2" t="str">
        <f ca="1">IFERROR(OFFSET(Assign!$B$78,MATCH($B4,Assign!$F$78:$F$80,0)-1,0),"")</f>
        <v/>
      </c>
      <c r="D4" s="18" t="str">
        <f ca="1">IFERROR(OFFSET(Assign!$C$78,MATCH($B4,Assign!$F$78:$F$80,0)-1,0),"")</f>
        <v/>
      </c>
    </row>
    <row r="5" spans="2:7">
      <c r="B5" s="2">
        <v>4</v>
      </c>
      <c r="C5" s="2" t="str">
        <f ca="1">IFERROR(OFFSET(Assign!$B$78,MATCH($B5,Assign!$F$78:$F$80,0)-1,0),"")</f>
        <v/>
      </c>
      <c r="D5" s="18" t="str">
        <f ca="1">IFERROR(OFFSET(Assign!$C$78,MATCH($B5,Assign!$F$78:$F$80,0)-1,0),"")</f>
        <v/>
      </c>
    </row>
    <row r="6" spans="2:7">
      <c r="B6" s="2">
        <v>5</v>
      </c>
      <c r="C6" s="2" t="str">
        <f ca="1">IFERROR(OFFSET(Assign!$B$78,MATCH($B6,Assign!$F$78:$F$80,0)-1,0),"")</f>
        <v/>
      </c>
      <c r="D6" s="18" t="str">
        <f ca="1">IFERROR(OFFSET(Assign!$C$78,MATCH($B6,Assign!$F$78:$F$80,0)-1,0),"")</f>
        <v/>
      </c>
    </row>
    <row r="7" spans="2:7">
      <c r="B7" s="2">
        <v>6</v>
      </c>
      <c r="C7" s="2" t="str">
        <f ca="1">IFERROR(OFFSET(Assign!$B$78,MATCH($B7,Assign!$F$78:$F$80,0)-1,0),"")</f>
        <v/>
      </c>
      <c r="D7" s="18" t="str">
        <f ca="1">IFERROR(OFFSET(Assign!$C$78,MATCH($B7,Assign!$F$78:$F$80,0)-1,0),"")</f>
        <v/>
      </c>
    </row>
    <row r="8" spans="2:7">
      <c r="B8" s="2">
        <v>7</v>
      </c>
      <c r="C8" s="2" t="str">
        <f ca="1">IFERROR(OFFSET(Assign!$B$78,MATCH($B8,Assign!$F$78:$F$80,0)-1,0),"")</f>
        <v/>
      </c>
      <c r="D8" s="18" t="str">
        <f ca="1">IFERROR(OFFSET(Assign!$C$78,MATCH($B8,Assign!$F$78:$F$80,0)-1,0),"")</f>
        <v/>
      </c>
    </row>
    <row r="9" spans="2:7">
      <c r="B9" s="2">
        <v>8</v>
      </c>
      <c r="C9" s="2" t="str">
        <f ca="1">IFERROR(OFFSET(Assign!$B$78,MATCH($B9,Assign!$F$78:$F$80,0)-1,0),"")</f>
        <v/>
      </c>
      <c r="D9" s="18" t="str">
        <f ca="1">IFERROR(OFFSET(Assign!$C$78,MATCH($B9,Assign!$F$78:$F$80,0)-1,0),"")</f>
        <v/>
      </c>
    </row>
    <row r="10" spans="2:7">
      <c r="B10" s="2">
        <v>9</v>
      </c>
      <c r="C10" s="2" t="str">
        <f ca="1">IFERROR(OFFSET(Assign!$B$78,MATCH($B10,Assign!$F$78:$F$80,0)-1,0),"")</f>
        <v/>
      </c>
      <c r="D10" s="18" t="str">
        <f ca="1">IFERROR(OFFSET(Assign!$C$78,MATCH($B10,Assign!$F$78:$F$80,0)-1,0),"")</f>
        <v/>
      </c>
    </row>
    <row r="11" spans="2:7">
      <c r="B11" s="2">
        <v>10</v>
      </c>
      <c r="C11" s="2" t="str">
        <f ca="1">IFERROR(OFFSET(Assign!$B$78,MATCH($B11,Assign!$F$78:$F$80,0)-1,0),"")</f>
        <v/>
      </c>
      <c r="D11" s="18" t="str">
        <f ca="1">IFERROR(OFFSET(Assign!$C$78,MATCH($B11,Assign!$F$78:$F$80,0)-1,0),"")</f>
        <v/>
      </c>
    </row>
    <row r="12" spans="2:7">
      <c r="B12" s="2">
        <v>11</v>
      </c>
      <c r="C12" s="2" t="str">
        <f ca="1">IFERROR(OFFSET(Assign!$B$78,MATCH($B12,Assign!$F$78:$F$80,0)-1,0),"")</f>
        <v/>
      </c>
      <c r="D12" s="18" t="str">
        <f ca="1">IFERROR(OFFSET(Assign!$C$78,MATCH($B12,Assign!$F$78:$F$80,0)-1,0),"")</f>
        <v/>
      </c>
    </row>
    <row r="13" spans="2:7">
      <c r="B13" s="2">
        <v>12</v>
      </c>
      <c r="C13" s="2" t="str">
        <f ca="1">IFERROR(OFFSET(Assign!$B$78,MATCH($B13,Assign!$F$78:$F$80,0)-1,0),"")</f>
        <v/>
      </c>
      <c r="D13" s="18" t="str">
        <f ca="1">IFERROR(OFFSET(Assign!$C$78,MATCH($B13,Assign!$F$78:$F$80,0)-1,0),"")</f>
        <v/>
      </c>
    </row>
    <row r="14" spans="2:7">
      <c r="B14" s="2">
        <v>13</v>
      </c>
      <c r="C14" s="2" t="str">
        <f ca="1">IFERROR(OFFSET(Assign!$B$78,MATCH($B14,Assign!$F$78:$F$80,0)-1,0),"")</f>
        <v/>
      </c>
      <c r="D14" s="18" t="str">
        <f ca="1">IFERROR(OFFSET(Assign!$C$78,MATCH($B14,Assign!$F$78:$F$80,0)-1,0),"")</f>
        <v/>
      </c>
    </row>
    <row r="15" spans="2:7">
      <c r="B15" s="2">
        <v>14</v>
      </c>
      <c r="C15" s="2" t="str">
        <f ca="1">IFERROR(OFFSET(Assign!$B$78,MATCH($B15,Assign!$F$78:$F$80,0)-1,0),"")</f>
        <v/>
      </c>
      <c r="D15" s="18" t="str">
        <f ca="1">IFERROR(OFFSET(Assign!$C$78,MATCH($B15,Assign!$F$78:$F$80,0)-1,0),"")</f>
        <v/>
      </c>
    </row>
    <row r="16" spans="2:7">
      <c r="B16" s="2">
        <v>15</v>
      </c>
      <c r="C16" s="2" t="str">
        <f ca="1">IFERROR(OFFSET(Assign!$B$78,MATCH($B16,Assign!$F$78:$F$80,0)-1,0),"")</f>
        <v/>
      </c>
      <c r="D16" s="18" t="str">
        <f ca="1">IFERROR(OFFSET(Assign!$C$78,MATCH($B16,Assign!$F$78:$F$80,0)-1,0),"")</f>
        <v/>
      </c>
    </row>
    <row r="17" spans="2:4">
      <c r="B17" s="2">
        <v>16</v>
      </c>
      <c r="C17" s="2" t="str">
        <f ca="1">IFERROR(OFFSET(Assign!$B$78,MATCH($B17,Assign!$F$78:$F$80,0)-1,0),"")</f>
        <v/>
      </c>
      <c r="D17" s="18" t="str">
        <f ca="1">IFERROR(OFFSET(Assign!$C$78,MATCH($B17,Assign!$F$78:$F$80,0)-1,0),"")</f>
        <v/>
      </c>
    </row>
    <row r="18" spans="2:4">
      <c r="B18" s="2">
        <v>17</v>
      </c>
      <c r="C18" s="2" t="str">
        <f ca="1">IFERROR(OFFSET(Assign!$B$78,MATCH($B18,Assign!$F$78:$F$80,0)-1,0),"")</f>
        <v/>
      </c>
      <c r="D18" s="18" t="str">
        <f ca="1">IFERROR(OFFSET(Assign!$C$78,MATCH($B18,Assign!$F$78:$F$80,0)-1,0),"")</f>
        <v/>
      </c>
    </row>
    <row r="19" spans="2:4">
      <c r="B19" s="2">
        <v>18</v>
      </c>
      <c r="C19" s="2" t="str">
        <f ca="1">IFERROR(OFFSET(Assign!$B$78,MATCH($B19,Assign!$F$78:$F$80,0)-1,0),"")</f>
        <v/>
      </c>
      <c r="D19" s="18" t="str">
        <f ca="1">IFERROR(OFFSET(Assign!$C$78,MATCH($B19,Assign!$F$78:$F$80,0)-1,0),"")</f>
        <v/>
      </c>
    </row>
    <row r="20" spans="2:4">
      <c r="B20" s="2">
        <v>19</v>
      </c>
      <c r="C20" s="2" t="str">
        <f ca="1">IFERROR(OFFSET(Assign!$B$78,MATCH($B20,Assign!$F$78:$F$80,0)-1,0),"")</f>
        <v/>
      </c>
      <c r="D20" s="18" t="str">
        <f ca="1">IFERROR(OFFSET(Assign!$C$78,MATCH($B20,Assign!$F$78:$F$80,0)-1,0),"")</f>
        <v/>
      </c>
    </row>
    <row r="21" spans="2:4">
      <c r="B21" s="2">
        <v>20</v>
      </c>
      <c r="C21" s="2" t="str">
        <f ca="1">IFERROR(OFFSET(Assign!$B$78,MATCH($B21,Assign!$F$78:$F$80,0)-1,0),"")</f>
        <v/>
      </c>
      <c r="D21" s="18" t="str">
        <f ca="1">IFERROR(OFFSET(Assign!$C$78,MATCH($B21,Assign!$F$78:$F$80,0)-1,0),"")</f>
        <v/>
      </c>
    </row>
    <row r="22" spans="2:4">
      <c r="B22" s="2">
        <v>21</v>
      </c>
      <c r="C22" s="2" t="str">
        <f ca="1">IFERROR(OFFSET(Assign!$B$78,MATCH($B22,Assign!$F$78:$F$80,0)-1,0),"")</f>
        <v/>
      </c>
      <c r="D22" s="18" t="str">
        <f ca="1">IFERROR(OFFSET(Assign!$C$78,MATCH($B22,Assign!$F$78:$F$80,0)-1,0),"")</f>
        <v/>
      </c>
    </row>
    <row r="23" spans="2:4">
      <c r="B23" s="2">
        <v>22</v>
      </c>
      <c r="C23" s="2" t="str">
        <f ca="1">IFERROR(OFFSET(Assign!$B$78,MATCH($B23,Assign!$F$78:$F$80,0)-1,0),"")</f>
        <v/>
      </c>
      <c r="D23" s="18" t="str">
        <f ca="1">IFERROR(OFFSET(Assign!$C$78,MATCH($B23,Assign!$F$78:$F$80,0)-1,0),"")</f>
        <v/>
      </c>
    </row>
    <row r="24" spans="2:4">
      <c r="B24" s="2">
        <v>23</v>
      </c>
      <c r="C24" s="2" t="str">
        <f ca="1">IFERROR(OFFSET(Assign!$B$78,MATCH($B24,Assign!$F$78:$F$80,0)-1,0),"")</f>
        <v/>
      </c>
      <c r="D24" s="18" t="str">
        <f ca="1">IFERROR(OFFSET(Assign!$C$78,MATCH($B24,Assign!$F$78:$F$80,0)-1,0),"")</f>
        <v/>
      </c>
    </row>
    <row r="25" spans="2:4">
      <c r="B25" s="2">
        <v>24</v>
      </c>
      <c r="C25" s="2" t="str">
        <f ca="1">IFERROR(OFFSET(Assign!$B$78,MATCH($B25,Assign!$F$78:$F$80,0)-1,0),"")</f>
        <v/>
      </c>
      <c r="D25" s="18" t="str">
        <f ca="1">IFERROR(OFFSET(Assign!$C$78,MATCH($B25,Assign!$F$78:$F$80,0)-1,0),"")</f>
        <v/>
      </c>
    </row>
    <row r="26" spans="2:4">
      <c r="B26" s="2">
        <v>25</v>
      </c>
      <c r="C26" s="2" t="str">
        <f ca="1">IFERROR(OFFSET(Assign!$B$78,MATCH($B26,Assign!$F$78:$F$80,0)-1,0),"")</f>
        <v/>
      </c>
      <c r="D26" s="18" t="str">
        <f ca="1">IFERROR(OFFSET(Assign!$C$78,MATCH($B26,Assign!$F$78:$F$80,0)-1,0),"")</f>
        <v/>
      </c>
    </row>
    <row r="27" spans="2:4">
      <c r="B27" s="2">
        <v>26</v>
      </c>
      <c r="C27" s="2" t="str">
        <f ca="1">IFERROR(OFFSET(Assign!$B$78,MATCH($B27,Assign!$F$78:$F$80,0)-1,0),"")</f>
        <v/>
      </c>
      <c r="D27" s="18" t="str">
        <f ca="1">IFERROR(OFFSET(Assign!$C$78,MATCH($B27,Assign!$F$78:$F$80,0)-1,0),"")</f>
        <v/>
      </c>
    </row>
    <row r="28" spans="2:4">
      <c r="B28" s="2">
        <v>27</v>
      </c>
      <c r="C28" s="2" t="str">
        <f ca="1">IFERROR(OFFSET(Assign!$B$78,MATCH($B28,Assign!$F$78:$F$80,0)-1,0),"")</f>
        <v/>
      </c>
      <c r="D28" s="18" t="str">
        <f ca="1">IFERROR(OFFSET(Assign!$C$78,MATCH($B28,Assign!$F$78:$F$80,0)-1,0),"")</f>
        <v/>
      </c>
    </row>
    <row r="29" spans="2:4">
      <c r="B29" s="2">
        <v>28</v>
      </c>
      <c r="C29" s="2" t="str">
        <f ca="1">IFERROR(OFFSET(Assign!$B$78,MATCH($B29,Assign!$F$78:$F$80,0)-1,0),"")</f>
        <v/>
      </c>
      <c r="D29" s="18" t="str">
        <f ca="1">IFERROR(OFFSET(Assign!$C$78,MATCH($B29,Assign!$F$78:$F$80,0)-1,0),"")</f>
        <v/>
      </c>
    </row>
    <row r="30" spans="2:4">
      <c r="B30" s="2">
        <v>29</v>
      </c>
      <c r="C30" s="2" t="str">
        <f ca="1">IFERROR(OFFSET(Assign!$B$78,MATCH($B30,Assign!$F$78:$F$80,0)-1,0),"")</f>
        <v/>
      </c>
      <c r="D30" s="18" t="str">
        <f ca="1">IFERROR(OFFSET(Assign!$C$78,MATCH($B30,Assign!$F$78:$F$80,0)-1,0),"")</f>
        <v/>
      </c>
    </row>
    <row r="31" spans="2:4">
      <c r="B31" s="2">
        <v>30</v>
      </c>
      <c r="C31" s="2" t="str">
        <f ca="1">IFERROR(OFFSET(Assign!$B$78,MATCH($B31,Assign!$F$78:$F$80,0)-1,0),"")</f>
        <v/>
      </c>
      <c r="D31" s="18" t="str">
        <f ca="1">IFERROR(OFFSET(Assign!$C$78,MATCH($B31,Assign!$F$78:$F$80,0)-1,0),"")</f>
        <v/>
      </c>
    </row>
    <row r="32" spans="2:4">
      <c r="B32" s="2">
        <v>31</v>
      </c>
      <c r="C32" s="2" t="str">
        <f ca="1">IFERROR(OFFSET(Assign!$B$78,MATCH($B32,Assign!$F$78:$F$80,0)-1,0),"")</f>
        <v/>
      </c>
      <c r="D32" s="18" t="str">
        <f ca="1">IFERROR(OFFSET(Assign!$C$78,MATCH($B32,Assign!$F$78:$F$80,0)-1,0),"")</f>
        <v/>
      </c>
    </row>
    <row r="33" spans="2:4">
      <c r="B33" s="2">
        <v>32</v>
      </c>
      <c r="C33" s="2" t="str">
        <f ca="1">IFERROR(OFFSET(Assign!$B$78,MATCH($B33,Assign!$F$78:$F$80,0)-1,0),"")</f>
        <v/>
      </c>
      <c r="D33" s="18" t="str">
        <f ca="1">IFERROR(OFFSET(Assign!$C$78,MATCH($B33,Assign!$F$78:$F$80,0)-1,0),"")</f>
        <v/>
      </c>
    </row>
    <row r="34" spans="2:4">
      <c r="B34" s="2">
        <v>33</v>
      </c>
      <c r="C34" s="2" t="str">
        <f ca="1">IFERROR(OFFSET(Assign!$B$78,MATCH($B34,Assign!$F$78:$F$80,0)-1,0),"")</f>
        <v/>
      </c>
      <c r="D34" s="18" t="str">
        <f ca="1">IFERROR(OFFSET(Assign!$C$78,MATCH($B34,Assign!$F$78:$F$80,0)-1,0),"")</f>
        <v/>
      </c>
    </row>
    <row r="35" spans="2:4">
      <c r="B35" s="2">
        <v>34</v>
      </c>
      <c r="C35" s="2" t="str">
        <f ca="1">IFERROR(OFFSET(Assign!$B$78,MATCH($B35,Assign!$F$78:$F$80,0)-1,0),"")</f>
        <v/>
      </c>
      <c r="D35" s="18" t="str">
        <f ca="1">IFERROR(OFFSET(Assign!$C$78,MATCH($B35,Assign!$F$78:$F$80,0)-1,0),"")</f>
        <v/>
      </c>
    </row>
    <row r="36" spans="2:4">
      <c r="B36" s="2">
        <v>35</v>
      </c>
      <c r="C36" s="2" t="str">
        <f ca="1">IFERROR(OFFSET(Assign!$B$78,MATCH($B36,Assign!$F$78:$F$80,0)-1,0),"")</f>
        <v/>
      </c>
      <c r="D36" s="18" t="str">
        <f ca="1">IFERROR(OFFSET(Assign!$C$78,MATCH($B36,Assign!$F$78:$F$80,0)-1,0),"")</f>
        <v/>
      </c>
    </row>
    <row r="37" spans="2:4">
      <c r="B37" s="2">
        <v>36</v>
      </c>
      <c r="C37" s="2" t="str">
        <f ca="1">IFERROR(OFFSET(Assign!$B$78,MATCH($B37,Assign!$F$78:$F$80,0)-1,0),"")</f>
        <v/>
      </c>
      <c r="D37" s="18" t="str">
        <f ca="1">IFERROR(OFFSET(Assign!$C$78,MATCH($B37,Assign!$F$78:$F$80,0)-1,0),"")</f>
        <v/>
      </c>
    </row>
    <row r="38" spans="2:4">
      <c r="B38" s="2">
        <v>37</v>
      </c>
      <c r="C38" s="2" t="str">
        <f ca="1">IFERROR(OFFSET(Assign!$B$78,MATCH($B38,Assign!$F$78:$F$80,0)-1,0),"")</f>
        <v/>
      </c>
      <c r="D38" s="18" t="str">
        <f ca="1">IFERROR(OFFSET(Assign!$C$78,MATCH($B38,Assign!$F$78:$F$80,0)-1,0),"")</f>
        <v/>
      </c>
    </row>
    <row r="39" spans="2:4">
      <c r="B39" s="2">
        <v>38</v>
      </c>
      <c r="C39" s="2" t="str">
        <f ca="1">IFERROR(OFFSET(Assign!$B$78,MATCH($B39,Assign!$F$78:$F$80,0)-1,0),"")</f>
        <v/>
      </c>
      <c r="D39" s="18" t="str">
        <f ca="1">IFERROR(OFFSET(Assign!$C$78,MATCH($B39,Assign!$F$78:$F$80,0)-1,0),"")</f>
        <v/>
      </c>
    </row>
    <row r="40" spans="2:4">
      <c r="B40" s="2">
        <v>39</v>
      </c>
      <c r="C40" s="2" t="str">
        <f ca="1">IFERROR(OFFSET(Assign!$B$78,MATCH($B40,Assign!$F$78:$F$80,0)-1,0),"")</f>
        <v/>
      </c>
      <c r="D40" s="18" t="str">
        <f ca="1">IFERROR(OFFSET(Assign!$C$78,MATCH($B40,Assign!$F$78:$F$80,0)-1,0),"")</f>
        <v/>
      </c>
    </row>
    <row r="41" spans="2:4">
      <c r="B41" s="2">
        <v>40</v>
      </c>
      <c r="C41" s="2" t="str">
        <f ca="1">IFERROR(OFFSET(Assign!$B$78,MATCH($B41,Assign!$F$78:$F$80,0)-1,0),"")</f>
        <v/>
      </c>
      <c r="D41" s="18" t="str">
        <f ca="1">IFERROR(OFFSET(Assign!$C$78,MATCH($B41,Assign!$F$78:$F$80,0)-1,0),"")</f>
        <v/>
      </c>
    </row>
    <row r="42" spans="2:4">
      <c r="B42" s="2">
        <v>41</v>
      </c>
      <c r="C42" s="2" t="str">
        <f ca="1">IFERROR(OFFSET(Assign!$B$78,MATCH($B42,Assign!$F$78:$F$80,0)-1,0),"")</f>
        <v/>
      </c>
      <c r="D42" s="18" t="str">
        <f ca="1">IFERROR(OFFSET(Assign!$C$78,MATCH($B42,Assign!$F$78:$F$80,0)-1,0),"")</f>
        <v/>
      </c>
    </row>
    <row r="43" spans="2:4">
      <c r="B43" s="2">
        <v>42</v>
      </c>
      <c r="C43" s="2" t="str">
        <f ca="1">IFERROR(OFFSET(Assign!$B$78,MATCH($B43,Assign!$F$78:$F$80,0)-1,0),"")</f>
        <v/>
      </c>
      <c r="D43" s="18" t="str">
        <f ca="1">IFERROR(OFFSET(Assign!$C$78,MATCH($B43,Assign!$F$78:$F$80,0)-1,0),"")</f>
        <v/>
      </c>
    </row>
    <row r="44" spans="2:4">
      <c r="B44" s="2">
        <v>43</v>
      </c>
      <c r="C44" s="2" t="str">
        <f ca="1">IFERROR(OFFSET(Assign!$B$78,MATCH($B44,Assign!$F$78:$F$80,0)-1,0),"")</f>
        <v/>
      </c>
      <c r="D44" s="18" t="str">
        <f ca="1">IFERROR(OFFSET(Assign!$C$78,MATCH($B44,Assign!$F$78:$F$80,0)-1,0),"")</f>
        <v/>
      </c>
    </row>
    <row r="45" spans="2:4">
      <c r="B45" s="2">
        <v>44</v>
      </c>
      <c r="C45" s="2" t="str">
        <f ca="1">IFERROR(OFFSET(Assign!$B$78,MATCH($B45,Assign!$F$78:$F$80,0)-1,0),"")</f>
        <v/>
      </c>
      <c r="D45" s="18" t="str">
        <f ca="1">IFERROR(OFFSET(Assign!$C$78,MATCH($B45,Assign!$F$78:$F$80,0)-1,0),"")</f>
        <v/>
      </c>
    </row>
    <row r="46" spans="2:4">
      <c r="B46" s="2">
        <v>45</v>
      </c>
      <c r="C46" s="2" t="str">
        <f ca="1">IFERROR(OFFSET(Assign!$B$78,MATCH($B46,Assign!$F$78:$F$80,0)-1,0),"")</f>
        <v/>
      </c>
      <c r="D46" s="18" t="str">
        <f ca="1">IFERROR(OFFSET(Assign!$C$78,MATCH($B46,Assign!$F$78:$F$80,0)-1,0),"")</f>
        <v/>
      </c>
    </row>
    <row r="47" spans="2:4">
      <c r="B47" s="2">
        <v>46</v>
      </c>
      <c r="C47" s="2" t="str">
        <f ca="1">IFERROR(OFFSET(Assign!$B$78,MATCH($B47,Assign!$F$78:$F$80,0)-1,0),"")</f>
        <v/>
      </c>
      <c r="D47" s="18" t="str">
        <f ca="1">IFERROR(OFFSET(Assign!$C$78,MATCH($B47,Assign!$F$78:$F$80,0)-1,0),"")</f>
        <v/>
      </c>
    </row>
    <row r="48" spans="2:4">
      <c r="B48" s="2">
        <v>47</v>
      </c>
      <c r="C48" s="2" t="str">
        <f ca="1">IFERROR(OFFSET(Assign!$B$78,MATCH($B48,Assign!$F$78:$F$80,0)-1,0),"")</f>
        <v/>
      </c>
      <c r="D48" s="18" t="str">
        <f ca="1">IFERROR(OFFSET(Assign!$C$78,MATCH($B48,Assign!$F$78:$F$80,0)-1,0),"")</f>
        <v/>
      </c>
    </row>
    <row r="49" spans="2:4">
      <c r="B49" s="2">
        <v>48</v>
      </c>
      <c r="C49" s="2" t="str">
        <f ca="1">IFERROR(OFFSET(Assign!$B$78,MATCH($B49,Assign!$F$78:$F$80,0)-1,0),"")</f>
        <v/>
      </c>
      <c r="D49" s="18" t="str">
        <f ca="1">IFERROR(OFFSET(Assign!$C$78,MATCH($B49,Assign!$F$78:$F$80,0)-1,0),"")</f>
        <v/>
      </c>
    </row>
    <row r="50" spans="2:4">
      <c r="B50" s="2">
        <v>49</v>
      </c>
      <c r="C50" s="2" t="str">
        <f ca="1">IFERROR(OFFSET(Assign!$B$78,MATCH($B50,Assign!$F$78:$F$80,0)-1,0),"")</f>
        <v/>
      </c>
      <c r="D50" s="18" t="str">
        <f ca="1">IFERROR(OFFSET(Assign!$C$78,MATCH($B50,Assign!$F$78:$F$80,0)-1,0),"")</f>
        <v/>
      </c>
    </row>
    <row r="51" spans="2:4">
      <c r="B51" s="2">
        <v>50</v>
      </c>
      <c r="C51" s="2" t="str">
        <f ca="1">IFERROR(OFFSET(Assign!$B$78,MATCH($B51,Assign!$F$78:$F$80,0)-1,0),"")</f>
        <v/>
      </c>
      <c r="D51" s="18" t="str">
        <f ca="1">IFERROR(OFFSET(Assign!$C$78,MATCH($B51,Assign!$F$78:$F$80,0)-1,0),"")</f>
        <v/>
      </c>
    </row>
    <row r="52" spans="2:4">
      <c r="B52" s="2">
        <v>51</v>
      </c>
      <c r="C52" s="2" t="str">
        <f ca="1">IFERROR(OFFSET(Assign!$B$78,MATCH($B52,Assign!$F$78:$F$80,0)-1,0),"")</f>
        <v/>
      </c>
      <c r="D52" s="18" t="str">
        <f ca="1">IFERROR(OFFSET(Assign!$C$78,MATCH($B52,Assign!$F$78:$F$80,0)-1,0),"")</f>
        <v/>
      </c>
    </row>
    <row r="53" spans="2:4">
      <c r="B53" s="2">
        <v>52</v>
      </c>
      <c r="C53" s="2" t="str">
        <f ca="1">IFERROR(OFFSET(Assign!$B$78,MATCH($B53,Assign!$F$78:$F$80,0)-1,0),"")</f>
        <v/>
      </c>
      <c r="D53" s="18" t="str">
        <f ca="1">IFERROR(OFFSET(Assign!$C$78,MATCH($B53,Assign!$F$78:$F$80,0)-1,0),"")</f>
        <v/>
      </c>
    </row>
    <row r="54" spans="2:4">
      <c r="B54" s="2">
        <v>53</v>
      </c>
      <c r="C54" s="2" t="str">
        <f ca="1">IFERROR(OFFSET(Assign!$B$78,MATCH($B54,Assign!$F$78:$F$80,0)-1,0),"")</f>
        <v/>
      </c>
      <c r="D54" s="18" t="str">
        <f ca="1">IFERROR(OFFSET(Assign!$C$78,MATCH($B54,Assign!$F$78:$F$80,0)-1,0),"")</f>
        <v/>
      </c>
    </row>
    <row r="55" spans="2:4">
      <c r="B55" s="2">
        <v>54</v>
      </c>
      <c r="C55" s="2" t="str">
        <f ca="1">IFERROR(OFFSET(Assign!$B$78,MATCH($B55,Assign!$F$78:$F$80,0)-1,0),"")</f>
        <v/>
      </c>
      <c r="D55" s="18" t="str">
        <f ca="1">IFERROR(OFFSET(Assign!$C$78,MATCH($B55,Assign!$F$78:$F$80,0)-1,0),"")</f>
        <v/>
      </c>
    </row>
    <row r="56" spans="2:4">
      <c r="B56" s="2">
        <v>55</v>
      </c>
      <c r="C56" s="2" t="str">
        <f ca="1">IFERROR(OFFSET(Assign!$B$78,MATCH($B56,Assign!$F$78:$F$80,0)-1,0),"")</f>
        <v/>
      </c>
      <c r="D56" s="18" t="str">
        <f ca="1">IFERROR(OFFSET(Assign!$C$78,MATCH($B56,Assign!$F$78:$F$80,0)-1,0),"")</f>
        <v/>
      </c>
    </row>
    <row r="57" spans="2:4">
      <c r="B57" s="2">
        <v>56</v>
      </c>
      <c r="C57" s="2" t="str">
        <f ca="1">IFERROR(OFFSET(Assign!$B$78,MATCH($B57,Assign!$F$78:$F$80,0)-1,0),"")</f>
        <v/>
      </c>
      <c r="D57" s="18" t="str">
        <f ca="1">IFERROR(OFFSET(Assign!$C$78,MATCH($B57,Assign!$F$78:$F$80,0)-1,0),"")</f>
        <v/>
      </c>
    </row>
    <row r="58" spans="2:4">
      <c r="B58" s="2">
        <v>57</v>
      </c>
      <c r="C58" s="2" t="str">
        <f ca="1">IFERROR(OFFSET(Assign!$B$78,MATCH($B58,Assign!$F$78:$F$80,0)-1,0),"")</f>
        <v/>
      </c>
      <c r="D58" s="18" t="str">
        <f ca="1">IFERROR(OFFSET(Assign!$C$78,MATCH($B58,Assign!$F$78:$F$80,0)-1,0),"")</f>
        <v/>
      </c>
    </row>
    <row r="59" spans="2:4">
      <c r="B59" s="2">
        <v>58</v>
      </c>
      <c r="C59" s="2" t="str">
        <f ca="1">IFERROR(OFFSET(Assign!$B$78,MATCH($B59,Assign!$F$78:$F$80,0)-1,0),"")</f>
        <v/>
      </c>
      <c r="D59" s="18" t="str">
        <f ca="1">IFERROR(OFFSET(Assign!$C$78,MATCH($B59,Assign!$F$78:$F$80,0)-1,0),"")</f>
        <v/>
      </c>
    </row>
    <row r="60" spans="2:4">
      <c r="B60" s="2">
        <v>59</v>
      </c>
      <c r="C60" s="2" t="str">
        <f ca="1">IFERROR(OFFSET(Assign!$B$78,MATCH($B60,Assign!$F$78:$F$80,0)-1,0),"")</f>
        <v/>
      </c>
      <c r="D60" s="18" t="str">
        <f ca="1">IFERROR(OFFSET(Assign!$C$78,MATCH($B60,Assign!$F$78:$F$80,0)-1,0),"")</f>
        <v/>
      </c>
    </row>
    <row r="61" spans="2:4">
      <c r="B61" s="2">
        <v>60</v>
      </c>
      <c r="C61" s="2" t="str">
        <f ca="1">IFERROR(OFFSET(Assign!$B$78,MATCH($B61,Assign!$F$78:$F$80,0)-1,0),"")</f>
        <v/>
      </c>
      <c r="D61" s="18" t="str">
        <f ca="1">IFERROR(OFFSET(Assign!$C$78,MATCH($B61,Assign!$F$78:$F$80,0)-1,0),"")</f>
        <v/>
      </c>
    </row>
    <row r="62" spans="2:4">
      <c r="B62" s="2">
        <v>61</v>
      </c>
      <c r="C62" s="2" t="str">
        <f ca="1">IFERROR(OFFSET(Assign!$B$78,MATCH($B62,Assign!$F$78:$F$80,0)-1,0),"")</f>
        <v/>
      </c>
      <c r="D62" s="18" t="str">
        <f ca="1">IFERROR(OFFSET(Assign!$C$78,MATCH($B62,Assign!$F$78:$F$80,0)-1,0),"")</f>
        <v/>
      </c>
    </row>
    <row r="63" spans="2:4">
      <c r="B63" s="2">
        <v>62</v>
      </c>
      <c r="C63" s="2" t="str">
        <f ca="1">IFERROR(OFFSET(Assign!$B$78,MATCH($B63,Assign!$F$78:$F$80,0)-1,0),"")</f>
        <v/>
      </c>
      <c r="D63" s="18" t="str">
        <f ca="1">IFERROR(OFFSET(Assign!$C$78,MATCH($B63,Assign!$F$78:$F$80,0)-1,0),"")</f>
        <v/>
      </c>
    </row>
    <row r="64" spans="2:4">
      <c r="B64" s="2">
        <v>63</v>
      </c>
      <c r="C64" s="2" t="str">
        <f ca="1">IFERROR(OFFSET(Assign!$B$78,MATCH($B64,Assign!$F$78:$F$80,0)-1,0),"")</f>
        <v/>
      </c>
      <c r="D64" s="18" t="str">
        <f ca="1">IFERROR(OFFSET(Assign!$C$78,MATCH($B64,Assign!$F$78:$F$80,0)-1,0),"")</f>
        <v/>
      </c>
    </row>
    <row r="65" spans="2:4">
      <c r="B65" s="2">
        <v>64</v>
      </c>
      <c r="C65" s="2" t="str">
        <f ca="1">IFERROR(OFFSET(Assign!$B$78,MATCH($B65,Assign!$F$78:$F$80,0)-1,0),"")</f>
        <v/>
      </c>
      <c r="D65" s="18" t="str">
        <f ca="1">IFERROR(OFFSET(Assign!$C$78,MATCH($B65,Assign!$F$78:$F$80,0)-1,0),"")</f>
        <v/>
      </c>
    </row>
    <row r="66" spans="2:4">
      <c r="B66" s="2">
        <v>65</v>
      </c>
      <c r="C66" s="2" t="str">
        <f ca="1">IFERROR(OFFSET(Assign!$B$78,MATCH($B66,Assign!$F$78:$F$80,0)-1,0),"")</f>
        <v/>
      </c>
      <c r="D66" s="18" t="str">
        <f ca="1">IFERROR(OFFSET(Assign!$C$78,MATCH($B66,Assign!$F$78:$F$80,0)-1,0),"")</f>
        <v/>
      </c>
    </row>
    <row r="67" spans="2:4">
      <c r="B67" s="2">
        <v>66</v>
      </c>
      <c r="C67" s="2" t="str">
        <f ca="1">IFERROR(OFFSET(Assign!$B$78,MATCH($B67,Assign!$F$78:$F$80,0)-1,0),"")</f>
        <v/>
      </c>
      <c r="D67" s="18" t="str">
        <f ca="1">IFERROR(OFFSET(Assign!$C$78,MATCH($B67,Assign!$F$78:$F$80,0)-1,0),"")</f>
        <v/>
      </c>
    </row>
    <row r="68" spans="2:4">
      <c r="B68" s="2">
        <v>67</v>
      </c>
      <c r="C68" s="2" t="str">
        <f ca="1">IFERROR(OFFSET(Assign!$B$78,MATCH($B68,Assign!$F$78:$F$80,0)-1,0),"")</f>
        <v/>
      </c>
      <c r="D68" s="18" t="str">
        <f ca="1">IFERROR(OFFSET(Assign!$C$78,MATCH($B68,Assign!$F$78:$F$80,0)-1,0),"")</f>
        <v/>
      </c>
    </row>
    <row r="69" spans="2:4">
      <c r="B69" s="2">
        <v>68</v>
      </c>
      <c r="C69" s="2" t="str">
        <f ca="1">IFERROR(OFFSET(Assign!$B$78,MATCH($B69,Assign!$F$78:$F$80,0)-1,0),"")</f>
        <v/>
      </c>
      <c r="D69" s="18" t="str">
        <f ca="1">IFERROR(OFFSET(Assign!$C$78,MATCH($B69,Assign!$F$78:$F$80,0)-1,0),"")</f>
        <v/>
      </c>
    </row>
    <row r="70" spans="2:4">
      <c r="B70" s="2">
        <v>69</v>
      </c>
      <c r="C70" s="2" t="str">
        <f ca="1">IFERROR(OFFSET(Assign!$B$78,MATCH($B70,Assign!$F$78:$F$80,0)-1,0),"")</f>
        <v/>
      </c>
      <c r="D70" s="18" t="str">
        <f ca="1">IFERROR(OFFSET(Assign!$C$78,MATCH($B70,Assign!$F$78:$F$80,0)-1,0),"")</f>
        <v/>
      </c>
    </row>
    <row r="71" spans="2:4">
      <c r="B71" s="2">
        <v>70</v>
      </c>
      <c r="C71" s="2" t="str">
        <f ca="1">IFERROR(OFFSET(Assign!$B$78,MATCH($B71,Assign!$F$78:$F$80,0)-1,0),"")</f>
        <v/>
      </c>
      <c r="D71" s="18" t="str">
        <f ca="1">IFERROR(OFFSET(Assign!$C$78,MATCH($B71,Assign!$F$78:$F$80,0)-1,0),"")</f>
        <v/>
      </c>
    </row>
    <row r="72" spans="2:4">
      <c r="B72" s="2">
        <v>71</v>
      </c>
      <c r="C72" s="2" t="str">
        <f ca="1">IFERROR(OFFSET(Assign!$B$78,MATCH($B72,Assign!$F$78:$F$80,0)-1,0),"")</f>
        <v/>
      </c>
      <c r="D72" s="18" t="str">
        <f ca="1">IFERROR(OFFSET(Assign!$C$78,MATCH($B72,Assign!$F$78:$F$80,0)-1,0),"")</f>
        <v/>
      </c>
    </row>
    <row r="73" spans="2:4">
      <c r="B73" s="2">
        <v>72</v>
      </c>
      <c r="C73" s="2" t="str">
        <f ca="1">IFERROR(OFFSET(Assign!$B$78,MATCH($B73,Assign!$F$78:$F$80,0)-1,0),"")</f>
        <v/>
      </c>
      <c r="D73" s="18" t="str">
        <f ca="1">IFERROR(OFFSET(Assign!$C$78,MATCH($B73,Assign!$F$78:$F$80,0)-1,0),"")</f>
        <v/>
      </c>
    </row>
    <row r="74" spans="2:4">
      <c r="B74" s="2">
        <v>73</v>
      </c>
      <c r="C74" s="2" t="str">
        <f ca="1">IFERROR(OFFSET(Assign!$B$78,MATCH($B74,Assign!$F$78:$F$80,0)-1,0),"")</f>
        <v/>
      </c>
      <c r="D74" s="18" t="str">
        <f ca="1">IFERROR(OFFSET(Assign!$C$78,MATCH($B74,Assign!$F$78:$F$80,0)-1,0),"")</f>
        <v/>
      </c>
    </row>
    <row r="75" spans="2:4">
      <c r="B75" s="2">
        <v>74</v>
      </c>
      <c r="C75" s="2" t="str">
        <f ca="1">IFERROR(OFFSET(Assign!$B$78,MATCH($B75,Assign!$F$78:$F$80,0)-1,0),"")</f>
        <v/>
      </c>
      <c r="D75" s="18" t="str">
        <f ca="1">IFERROR(OFFSET(Assign!$C$78,MATCH($B75,Assign!$F$78:$F$80,0)-1,0),"")</f>
        <v/>
      </c>
    </row>
    <row r="76" spans="2:4">
      <c r="B76" s="2">
        <v>75</v>
      </c>
      <c r="C76" s="2" t="str">
        <f ca="1">IFERROR(OFFSET(Assign!$B$78,MATCH($B76,Assign!$F$78:$F$80,0)-1,0),"")</f>
        <v/>
      </c>
      <c r="D76" s="18" t="str">
        <f ca="1">IFERROR(OFFSET(Assign!$C$78,MATCH($B76,Assign!$F$78:$F$80,0)-1,0),"")</f>
        <v/>
      </c>
    </row>
    <row r="77" spans="2:4">
      <c r="B77" s="2">
        <v>76</v>
      </c>
      <c r="C77" s="2" t="str">
        <f ca="1">IFERROR(OFFSET(Assign!$B$78,MATCH($B77,Assign!$F$78:$F$80,0)-1,0),"")</f>
        <v/>
      </c>
      <c r="D77" s="18" t="str">
        <f ca="1">IFERROR(OFFSET(Assign!$C$78,MATCH($B77,Assign!$F$78:$F$80,0)-1,0),"")</f>
        <v/>
      </c>
    </row>
    <row r="78" spans="2:4">
      <c r="B78" s="2">
        <v>77</v>
      </c>
      <c r="C78" s="2" t="str">
        <f ca="1">IFERROR(OFFSET(Assign!$B$78,MATCH($B78,Assign!$F$78:$F$80,0)-1,0),"")</f>
        <v/>
      </c>
      <c r="D78" s="18" t="str">
        <f ca="1">IFERROR(OFFSET(Assign!$C$78,MATCH($B78,Assign!$F$78:$F$80,0)-1,0),"")</f>
        <v/>
      </c>
    </row>
    <row r="79" spans="2:4">
      <c r="B79" s="2">
        <v>78</v>
      </c>
      <c r="C79" s="2" t="str">
        <f ca="1">IFERROR(OFFSET(Assign!$B$78,MATCH($B79,Assign!$F$78:$F$80,0)-1,0),"")</f>
        <v/>
      </c>
      <c r="D79" s="18" t="str">
        <f ca="1">IFERROR(OFFSET(Assign!$C$78,MATCH($B79,Assign!$F$78:$F$80,0)-1,0),"")</f>
        <v/>
      </c>
    </row>
    <row r="80" spans="2:4">
      <c r="B80" s="2">
        <v>79</v>
      </c>
      <c r="C80" s="2" t="str">
        <f ca="1">IFERROR(OFFSET(Assign!$B$78,MATCH($B80,Assign!$F$78:$F$80,0)-1,0),"")</f>
        <v/>
      </c>
      <c r="D80" s="18" t="str">
        <f ca="1">IFERROR(OFFSET(Assign!$C$78,MATCH($B80,Assign!$F$78:$F$80,0)-1,0),"")</f>
        <v/>
      </c>
    </row>
    <row r="81" spans="2:4">
      <c r="B81" s="2">
        <v>80</v>
      </c>
      <c r="C81" s="2" t="str">
        <f ca="1">IFERROR(OFFSET(Assign!$B$78,MATCH($B81,Assign!$F$78:$F$80,0)-1,0),"")</f>
        <v/>
      </c>
      <c r="D81" s="18" t="str">
        <f ca="1">IFERROR(OFFSET(Assign!$C$78,MATCH($B81,Assign!$F$78:$F$80,0)-1,0),"")</f>
        <v/>
      </c>
    </row>
    <row r="82" spans="2:4">
      <c r="B82" s="2">
        <v>81</v>
      </c>
      <c r="C82" s="2" t="str">
        <f ca="1">IFERROR(OFFSET(Assign!$B$78,MATCH($B82,Assign!$F$78:$F$80,0)-1,0),"")</f>
        <v/>
      </c>
      <c r="D82" s="18" t="str">
        <f ca="1">IFERROR(OFFSET(Assign!$C$78,MATCH($B82,Assign!$F$78:$F$80,0)-1,0),"")</f>
        <v/>
      </c>
    </row>
    <row r="83" spans="2:4">
      <c r="B83" s="2">
        <v>82</v>
      </c>
      <c r="C83" s="2" t="str">
        <f ca="1">IFERROR(OFFSET(Assign!$B$78,MATCH($B83,Assign!$F$78:$F$80,0)-1,0),"")</f>
        <v/>
      </c>
      <c r="D83" s="18" t="str">
        <f ca="1">IFERROR(OFFSET(Assign!$C$78,MATCH($B83,Assign!$F$78:$F$80,0)-1,0),"")</f>
        <v/>
      </c>
    </row>
    <row r="84" spans="2:4">
      <c r="B84" s="2">
        <v>83</v>
      </c>
      <c r="C84" s="2" t="str">
        <f ca="1">IFERROR(OFFSET(Assign!$B$78,MATCH($B84,Assign!$F$78:$F$80,0)-1,0),"")</f>
        <v/>
      </c>
      <c r="D84" s="18" t="str">
        <f ca="1">IFERROR(OFFSET(Assign!$C$78,MATCH($B84,Assign!$F$78:$F$80,0)-1,0),"")</f>
        <v/>
      </c>
    </row>
    <row r="85" spans="2:4">
      <c r="B85" s="2">
        <v>84</v>
      </c>
      <c r="C85" s="2" t="str">
        <f ca="1">IFERROR(OFFSET(Assign!$B$78,MATCH($B85,Assign!$F$78:$F$80,0)-1,0),"")</f>
        <v/>
      </c>
      <c r="D85" s="18" t="str">
        <f ca="1">IFERROR(OFFSET(Assign!$C$78,MATCH($B85,Assign!$F$78:$F$80,0)-1,0),"")</f>
        <v/>
      </c>
    </row>
    <row r="86" spans="2:4">
      <c r="B86" s="2">
        <v>85</v>
      </c>
      <c r="C86" s="2" t="str">
        <f ca="1">IFERROR(OFFSET(Assign!$B$78,MATCH($B86,Assign!$F$78:$F$80,0)-1,0),"")</f>
        <v/>
      </c>
      <c r="D86" s="18" t="str">
        <f ca="1">IFERROR(OFFSET(Assign!$C$78,MATCH($B86,Assign!$F$78:$F$80,0)-1,0),"")</f>
        <v/>
      </c>
    </row>
    <row r="87" spans="2:4">
      <c r="B87" s="2">
        <v>86</v>
      </c>
      <c r="C87" s="2" t="str">
        <f ca="1">IFERROR(OFFSET(Assign!$B$78,MATCH($B87,Assign!$F$78:$F$80,0)-1,0),"")</f>
        <v/>
      </c>
      <c r="D87" s="18" t="str">
        <f ca="1">IFERROR(OFFSET(Assign!$C$78,MATCH($B87,Assign!$F$78:$F$80,0)-1,0),"")</f>
        <v/>
      </c>
    </row>
    <row r="88" spans="2:4">
      <c r="B88" s="2">
        <v>87</v>
      </c>
      <c r="C88" s="2" t="str">
        <f ca="1">IFERROR(OFFSET(Assign!$B$78,MATCH($B88,Assign!$F$78:$F$80,0)-1,0),"")</f>
        <v/>
      </c>
      <c r="D88" s="18" t="str">
        <f ca="1">IFERROR(OFFSET(Assign!$C$78,MATCH($B88,Assign!$F$78:$F$80,0)-1,0),"")</f>
        <v/>
      </c>
    </row>
    <row r="89" spans="2:4">
      <c r="B89" s="2">
        <v>88</v>
      </c>
      <c r="C89" s="2" t="str">
        <f ca="1">IFERROR(OFFSET(Assign!$B$78,MATCH($B89,Assign!$F$78:$F$80,0)-1,0),"")</f>
        <v/>
      </c>
      <c r="D89" s="18" t="str">
        <f ca="1">IFERROR(OFFSET(Assign!$C$78,MATCH($B89,Assign!$F$78:$F$80,0)-1,0),"")</f>
        <v/>
      </c>
    </row>
    <row r="90" spans="2:4">
      <c r="B90" s="2">
        <v>89</v>
      </c>
      <c r="C90" s="2" t="str">
        <f ca="1">IFERROR(OFFSET(Assign!$B$78,MATCH($B90,Assign!$F$78:$F$80,0)-1,0),"")</f>
        <v/>
      </c>
      <c r="D90" s="18" t="str">
        <f ca="1">IFERROR(OFFSET(Assign!$C$78,MATCH($B90,Assign!$F$78:$F$80,0)-1,0),"")</f>
        <v/>
      </c>
    </row>
    <row r="91" spans="2:4">
      <c r="B91" s="2">
        <v>90</v>
      </c>
      <c r="C91" s="2" t="str">
        <f ca="1">IFERROR(OFFSET(Assign!$B$78,MATCH($B91,Assign!$F$78:$F$80,0)-1,0),"")</f>
        <v/>
      </c>
      <c r="D91" s="18" t="str">
        <f ca="1">IFERROR(OFFSET(Assign!$C$78,MATCH($B91,Assign!$F$78:$F$80,0)-1,0),"")</f>
        <v/>
      </c>
    </row>
    <row r="92" spans="2:4">
      <c r="B92" s="2">
        <v>91</v>
      </c>
      <c r="C92" s="2" t="str">
        <f ca="1">IFERROR(OFFSET(Assign!$B$78,MATCH($B92,Assign!$F$78:$F$80,0)-1,0),"")</f>
        <v/>
      </c>
      <c r="D92" s="18" t="str">
        <f ca="1">IFERROR(OFFSET(Assign!$C$78,MATCH($B92,Assign!$F$78:$F$80,0)-1,0),"")</f>
        <v/>
      </c>
    </row>
    <row r="93" spans="2:4">
      <c r="B93" s="2">
        <v>92</v>
      </c>
      <c r="C93" s="2" t="str">
        <f ca="1">IFERROR(OFFSET(Assign!$B$78,MATCH($B93,Assign!$F$78:$F$80,0)-1,0),"")</f>
        <v/>
      </c>
      <c r="D93" s="18" t="str">
        <f ca="1">IFERROR(OFFSET(Assign!$C$78,MATCH($B93,Assign!$F$78:$F$80,0)-1,0),"")</f>
        <v/>
      </c>
    </row>
    <row r="94" spans="2:4">
      <c r="B94" s="2">
        <v>93</v>
      </c>
      <c r="C94" s="2" t="str">
        <f ca="1">IFERROR(OFFSET(Assign!$B$78,MATCH($B94,Assign!$F$78:$F$80,0)-1,0),"")</f>
        <v/>
      </c>
      <c r="D94" s="18" t="str">
        <f ca="1">IFERROR(OFFSET(Assign!$C$78,MATCH($B94,Assign!$F$78:$F$80,0)-1,0),"")</f>
        <v/>
      </c>
    </row>
    <row r="95" spans="2:4">
      <c r="B95" s="2">
        <v>94</v>
      </c>
      <c r="C95" s="2" t="str">
        <f ca="1">IFERROR(OFFSET(Assign!$B$78,MATCH($B95,Assign!$F$78:$F$80,0)-1,0),"")</f>
        <v/>
      </c>
      <c r="D95" s="18" t="str">
        <f ca="1">IFERROR(OFFSET(Assign!$C$78,MATCH($B95,Assign!$F$78:$F$80,0)-1,0),"")</f>
        <v/>
      </c>
    </row>
    <row r="96" spans="2:4">
      <c r="B96" s="2">
        <v>95</v>
      </c>
      <c r="C96" s="2" t="str">
        <f ca="1">IFERROR(OFFSET(Assign!$B$78,MATCH($B96,Assign!$F$78:$F$80,0)-1,0),"")</f>
        <v/>
      </c>
      <c r="D96" s="18" t="str">
        <f ca="1">IFERROR(OFFSET(Assign!$C$78,MATCH($B96,Assign!$F$78:$F$80,0)-1,0),"")</f>
        <v/>
      </c>
    </row>
    <row r="97" spans="2:4">
      <c r="B97" s="2">
        <v>96</v>
      </c>
      <c r="C97" s="2" t="str">
        <f ca="1">IFERROR(OFFSET(Assign!$B$78,MATCH($B97,Assign!$F$78:$F$80,0)-1,0),"")</f>
        <v/>
      </c>
      <c r="D97" s="18" t="str">
        <f ca="1">IFERROR(OFFSET(Assign!$C$78,MATCH($B97,Assign!$F$78:$F$80,0)-1,0),"")</f>
        <v/>
      </c>
    </row>
    <row r="98" spans="2:4">
      <c r="B98" s="2">
        <v>97</v>
      </c>
      <c r="C98" s="2" t="str">
        <f ca="1">IFERROR(OFFSET(Assign!$B$78,MATCH($B98,Assign!$F$78:$F$80,0)-1,0),"")</f>
        <v/>
      </c>
      <c r="D98" s="18" t="str">
        <f ca="1">IFERROR(OFFSET(Assign!$C$78,MATCH($B98,Assign!$F$78:$F$80,0)-1,0),"")</f>
        <v/>
      </c>
    </row>
    <row r="99" spans="2:4">
      <c r="B99" s="2">
        <v>98</v>
      </c>
      <c r="C99" s="2" t="str">
        <f ca="1">IFERROR(OFFSET(Assign!$B$78,MATCH($B99,Assign!$F$78:$F$80,0)-1,0),"")</f>
        <v/>
      </c>
      <c r="D99" s="18" t="str">
        <f ca="1">IFERROR(OFFSET(Assign!$C$78,MATCH($B99,Assign!$F$78:$F$80,0)-1,0),"")</f>
        <v/>
      </c>
    </row>
    <row r="100" spans="2:4">
      <c r="B100" s="2">
        <v>99</v>
      </c>
      <c r="C100" s="2" t="str">
        <f ca="1">IFERROR(OFFSET(Assign!$B$78,MATCH($B100,Assign!$F$78:$F$80,0)-1,0),"")</f>
        <v/>
      </c>
      <c r="D100" s="18" t="str">
        <f ca="1">IFERROR(OFFSET(Assign!$C$78,MATCH($B100,Assign!$F$78:$F$80,0)-1,0),"")</f>
        <v/>
      </c>
    </row>
    <row r="101" spans="2:4">
      <c r="B101" s="2">
        <v>100</v>
      </c>
      <c r="C101" s="2" t="str">
        <f ca="1">IFERROR(OFFSET(Assign!$B$78,MATCH($B101,Assign!$F$78:$F$80,0)-1,0),"")</f>
        <v/>
      </c>
      <c r="D101" s="18" t="str">
        <f ca="1">IFERROR(OFFSET(Assign!$C$78,MATCH($B101,Assign!$F$78:$F$80,0)-1,0),"")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G101"/>
  <sheetViews>
    <sheetView tabSelected="1" zoomScaleNormal="100" workbookViewId="0">
      <selection activeCell="D10" sqref="D10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20.625" style="2" customWidth="1"/>
    <col min="6" max="6" width="10.25" style="2" customWidth="1"/>
    <col min="7" max="7" width="45.625" style="2" customWidth="1"/>
    <col min="8" max="16384" width="9" style="2"/>
  </cols>
  <sheetData>
    <row r="1" spans="2:7">
      <c r="B1" s="2" t="s">
        <v>79</v>
      </c>
      <c r="C1" s="2" t="s">
        <v>84</v>
      </c>
      <c r="D1" s="18" t="s">
        <v>25</v>
      </c>
      <c r="E1" s="2" t="s">
        <v>83</v>
      </c>
      <c r="F1" s="2" t="s">
        <v>192</v>
      </c>
      <c r="G1" s="2" t="s">
        <v>82</v>
      </c>
    </row>
    <row r="2" spans="2:7" ht="25.5">
      <c r="B2" s="2">
        <v>1</v>
      </c>
      <c r="C2" s="2">
        <f ca="1">IFERROR(OFFSET(Assign!$B$82,MATCH($B2,Assign!$F$82:$F$104,0)-1,0),"")</f>
        <v>1</v>
      </c>
      <c r="D2" s="18" t="str">
        <f ca="1">IFERROR(OFFSET(Assign!$C$82,MATCH($B2,Assign!$F$82:$F$104,0)-1,0),"")</f>
        <v>GPIO28/ SCIA_RX/ EPWM7_A/ OUTPUTXBAR5/ EQEP1_A/ SD1_D3/ EQEP2_STROBE/ LINA_TX/ SPIB_CLK/ ERRORSTS</v>
      </c>
      <c r="E2" s="32" t="s">
        <v>201</v>
      </c>
      <c r="F2" s="33" t="s">
        <v>225</v>
      </c>
      <c r="G2" s="32" t="s">
        <v>239</v>
      </c>
    </row>
    <row r="3" spans="2:7" ht="25.5">
      <c r="B3" s="2">
        <v>2</v>
      </c>
      <c r="C3" s="2">
        <f ca="1">IFERROR(OFFSET(Assign!$B$82,MATCH($B3,Assign!$F$82:$F$104,0)-1,0),"")</f>
        <v>52</v>
      </c>
      <c r="D3" s="18" t="str">
        <f ca="1">IFERROR(OFFSET(Assign!$C$82,MATCH($B3,Assign!$F$82:$F$104,0)-1,0),"")</f>
        <v>GPIO11/ EPWM6_B/ SCIB_RX/ OUTPUTXBAR7/ EQEP1_B/ SPIA_STE/ FSIRXA_D1</v>
      </c>
      <c r="E3" s="32" t="s">
        <v>202</v>
      </c>
      <c r="F3" s="33" t="s">
        <v>225</v>
      </c>
      <c r="G3" s="32" t="s">
        <v>275</v>
      </c>
    </row>
    <row r="4" spans="2:7">
      <c r="B4" s="2">
        <v>3</v>
      </c>
      <c r="C4" s="2">
        <f ca="1">IFERROR(OFFSET(Assign!$B$82,MATCH($B4,Assign!$F$82:$F$104,0)-1,0),"")</f>
        <v>75</v>
      </c>
      <c r="D4" s="18" t="str">
        <f ca="1">IFERROR(OFFSET(Assign!$C$82,MATCH($B4,Assign!$F$82:$F$104,0)-1,0),"")</f>
        <v>GPIO4/ EPWM3_A/ OUTPUTXBAR3/ CANA_TX/ FSIRXA_CLK</v>
      </c>
      <c r="E4" s="32" t="s">
        <v>198</v>
      </c>
      <c r="F4" s="33" t="s">
        <v>225</v>
      </c>
      <c r="G4" s="32" t="s">
        <v>277</v>
      </c>
    </row>
    <row r="5" spans="2:7" ht="25.5">
      <c r="B5" s="2">
        <v>4</v>
      </c>
      <c r="C5" s="2">
        <f ca="1">IFERROR(OFFSET(Assign!$B$82,MATCH($B5,Assign!$F$82:$F$104,0)-1,0),"")</f>
        <v>77</v>
      </c>
      <c r="D5" s="18" t="str">
        <f ca="1">IFERROR(OFFSET(Assign!$C$82,MATCH($B5,Assign!$F$82:$F$104,0)-1,0),"")</f>
        <v>GPIO2/ EPWM2_A/ OUTPUTXBAR1/ PMBUSA_SDA/ SCIA_TX/ FSIRXA_D1</v>
      </c>
      <c r="E5" s="32" t="s">
        <v>197</v>
      </c>
      <c r="F5" s="33" t="s">
        <v>225</v>
      </c>
      <c r="G5" s="32" t="s">
        <v>249</v>
      </c>
    </row>
    <row r="6" spans="2:7">
      <c r="B6" s="2">
        <v>5</v>
      </c>
      <c r="C6" s="2">
        <f ca="1">IFERROR(OFFSET(Assign!$B$82,MATCH($B6,Assign!$F$82:$F$104,0)-1,0),"")</f>
        <v>79</v>
      </c>
      <c r="D6" s="18" t="str">
        <f ca="1">IFERROR(OFFSET(Assign!$C$82,MATCH($B6,Assign!$F$82:$F$104,0)-1,0),"")</f>
        <v>GPIO0/ EPWM1_A/ I2CA_SDA</v>
      </c>
      <c r="E6" s="32" t="s">
        <v>196</v>
      </c>
      <c r="F6" s="33" t="s">
        <v>225</v>
      </c>
      <c r="G6" s="32" t="s">
        <v>240</v>
      </c>
    </row>
    <row r="7" spans="2:7" ht="25.5">
      <c r="B7" s="2">
        <v>6</v>
      </c>
      <c r="C7" s="2">
        <f ca="1">IFERROR(OFFSET(Assign!$B$82,MATCH($B7,Assign!$F$82:$F$104,0)-1,0),"")</f>
        <v>93</v>
      </c>
      <c r="D7" s="18" t="str">
        <f ca="1">IFERROR(OFFSET(Assign!$C$82,MATCH($B7,Assign!$F$82:$F$104,0)-1,0),"")</f>
        <v>GPIO10/ EPWM6_A/ CANB_RX/ ADCSOCBO/ EQEP1_A/ SCIB_TX/ SPIA_SOMI/ I2CA_SDA/ FSITXA_CLK</v>
      </c>
      <c r="E7" s="32" t="s">
        <v>279</v>
      </c>
      <c r="F7" s="33" t="s">
        <v>225</v>
      </c>
      <c r="G7" s="32" t="s">
        <v>276</v>
      </c>
    </row>
    <row r="8" spans="2:7" ht="25.5">
      <c r="B8" s="2">
        <v>7</v>
      </c>
      <c r="C8" s="2">
        <f ca="1">IFERROR(OFFSET(Assign!$B$82,MATCH($B8,Assign!$F$82:$F$104,0)-1,0),"")</f>
        <v>97</v>
      </c>
      <c r="D8" s="18" t="str">
        <f ca="1">IFERROR(OFFSET(Assign!$C$82,MATCH($B8,Assign!$F$82:$F$104,0)-1,0),"")</f>
        <v>GPIO6/ EPWM4_A/ OUTPUTXBAR4/ SYNCOUT/ EQEP1_A/ CANB_TX/ SPIB_SOMI/ FSITXA_D0</v>
      </c>
      <c r="E8" s="32" t="s">
        <v>199</v>
      </c>
      <c r="F8" s="33" t="s">
        <v>225</v>
      </c>
      <c r="G8" s="32" t="s">
        <v>278</v>
      </c>
    </row>
    <row r="9" spans="2:7" ht="25.5">
      <c r="B9" s="2">
        <v>8</v>
      </c>
      <c r="C9" s="2">
        <f ca="1">IFERROR(OFFSET(Assign!$B$82,MATCH($B9,Assign!$F$82:$F$104,0)-1,0),"")</f>
        <v>100</v>
      </c>
      <c r="D9" s="18" t="str">
        <f ca="1">IFERROR(OFFSET(Assign!$C$82,MATCH($B9,Assign!$F$82:$F$104,0)-1,0),"")</f>
        <v>GPIO29/ SCIA_TX/ EPWM7_B/ OUTPUTXBAR6/ EQEP1_B/ SD1_C3/ EQEP2_INDEX/ LINA_RX/ SPIB_STE/ ERRORSTS</v>
      </c>
      <c r="E9" s="32" t="s">
        <v>200</v>
      </c>
      <c r="F9" s="33" t="s">
        <v>225</v>
      </c>
      <c r="G9" s="32" t="s">
        <v>241</v>
      </c>
    </row>
    <row r="10" spans="2:7">
      <c r="B10" s="2">
        <v>9</v>
      </c>
      <c r="C10" s="2" t="str">
        <f ca="1">IFERROR(OFFSET(Assign!$B$82,MATCH($B10,Assign!$F$82:$F$104,0)-1,0),"")</f>
        <v/>
      </c>
      <c r="D10" s="18" t="str">
        <f ca="1">IFERROR(OFFSET(Assign!$C$82,MATCH($B10,Assign!$F$82:$F$104,0)-1,0),"")</f>
        <v/>
      </c>
    </row>
    <row r="11" spans="2:7">
      <c r="B11" s="2">
        <v>10</v>
      </c>
      <c r="C11" s="2" t="str">
        <f ca="1">IFERROR(OFFSET(Assign!$B$82,MATCH($B11,Assign!$F$82:$F$104,0)-1,0),"")</f>
        <v/>
      </c>
      <c r="D11" s="18" t="str">
        <f ca="1">IFERROR(OFFSET(Assign!$C$82,MATCH($B11,Assign!$F$82:$F$104,0)-1,0),"")</f>
        <v/>
      </c>
    </row>
    <row r="12" spans="2:7">
      <c r="B12" s="2">
        <v>11</v>
      </c>
      <c r="C12" s="2" t="str">
        <f ca="1">IFERROR(OFFSET(Assign!$B$82,MATCH($B12,Assign!$F$82:$F$104,0)-1,0),"")</f>
        <v/>
      </c>
      <c r="D12" s="18" t="str">
        <f ca="1">IFERROR(OFFSET(Assign!$C$82,MATCH($B12,Assign!$F$82:$F$104,0)-1,0),"")</f>
        <v/>
      </c>
    </row>
    <row r="13" spans="2:7">
      <c r="B13" s="2">
        <v>12</v>
      </c>
      <c r="C13" s="2" t="str">
        <f ca="1">IFERROR(OFFSET(Assign!$B$82,MATCH($B13,Assign!$F$82:$F$104,0)-1,0),"")</f>
        <v/>
      </c>
      <c r="D13" s="18" t="str">
        <f ca="1">IFERROR(OFFSET(Assign!$C$82,MATCH($B13,Assign!$F$82:$F$104,0)-1,0),"")</f>
        <v/>
      </c>
    </row>
    <row r="14" spans="2:7">
      <c r="B14" s="2">
        <v>13</v>
      </c>
      <c r="C14" s="2" t="str">
        <f ca="1">IFERROR(OFFSET(Assign!$B$82,MATCH($B14,Assign!$F$82:$F$104,0)-1,0),"")</f>
        <v/>
      </c>
      <c r="D14" s="18" t="str">
        <f ca="1">IFERROR(OFFSET(Assign!$C$82,MATCH($B14,Assign!$F$82:$F$104,0)-1,0),"")</f>
        <v/>
      </c>
    </row>
    <row r="15" spans="2:7">
      <c r="B15" s="2">
        <v>14</v>
      </c>
      <c r="C15" s="2" t="str">
        <f ca="1">IFERROR(OFFSET(Assign!$B$82,MATCH($B15,Assign!$F$82:$F$104,0)-1,0),"")</f>
        <v/>
      </c>
      <c r="D15" s="18" t="str">
        <f ca="1">IFERROR(OFFSET(Assign!$C$82,MATCH($B15,Assign!$F$82:$F$104,0)-1,0),"")</f>
        <v/>
      </c>
    </row>
    <row r="16" spans="2:7">
      <c r="B16" s="2">
        <v>15</v>
      </c>
      <c r="C16" s="2" t="str">
        <f ca="1">IFERROR(OFFSET(Assign!$B$82,MATCH($B16,Assign!$F$82:$F$104,0)-1,0),"")</f>
        <v/>
      </c>
      <c r="D16" s="18" t="str">
        <f ca="1">IFERROR(OFFSET(Assign!$C$82,MATCH($B16,Assign!$F$82:$F$104,0)-1,0),"")</f>
        <v/>
      </c>
    </row>
    <row r="17" spans="2:4">
      <c r="B17" s="2">
        <v>16</v>
      </c>
      <c r="C17" s="2" t="str">
        <f ca="1">IFERROR(OFFSET(Assign!$B$82,MATCH($B17,Assign!$F$82:$F$104,0)-1,0),"")</f>
        <v/>
      </c>
      <c r="D17" s="18" t="str">
        <f ca="1">IFERROR(OFFSET(Assign!$C$82,MATCH($B17,Assign!$F$82:$F$104,0)-1,0),"")</f>
        <v/>
      </c>
    </row>
    <row r="18" spans="2:4">
      <c r="B18" s="2">
        <v>17</v>
      </c>
      <c r="C18" s="2" t="str">
        <f ca="1">IFERROR(OFFSET(Assign!$B$82,MATCH($B18,Assign!$F$82:$F$104,0)-1,0),"")</f>
        <v/>
      </c>
      <c r="D18" s="18" t="str">
        <f ca="1">IFERROR(OFFSET(Assign!$C$82,MATCH($B18,Assign!$F$82:$F$104,0)-1,0),"")</f>
        <v/>
      </c>
    </row>
    <row r="19" spans="2:4">
      <c r="B19" s="2">
        <v>18</v>
      </c>
      <c r="C19" s="2" t="str">
        <f ca="1">IFERROR(OFFSET(Assign!$B$82,MATCH($B19,Assign!$F$82:$F$104,0)-1,0),"")</f>
        <v/>
      </c>
      <c r="D19" s="18" t="str">
        <f ca="1">IFERROR(OFFSET(Assign!$C$82,MATCH($B19,Assign!$F$82:$F$104,0)-1,0),"")</f>
        <v/>
      </c>
    </row>
    <row r="20" spans="2:4">
      <c r="B20" s="2">
        <v>19</v>
      </c>
      <c r="C20" s="2" t="str">
        <f ca="1">IFERROR(OFFSET(Assign!$B$82,MATCH($B20,Assign!$F$82:$F$104,0)-1,0),"")</f>
        <v/>
      </c>
      <c r="D20" s="18" t="str">
        <f ca="1">IFERROR(OFFSET(Assign!$C$82,MATCH($B20,Assign!$F$82:$F$104,0)-1,0),"")</f>
        <v/>
      </c>
    </row>
    <row r="21" spans="2:4">
      <c r="B21" s="2">
        <v>20</v>
      </c>
      <c r="C21" s="2" t="str">
        <f ca="1">IFERROR(OFFSET(Assign!$B$82,MATCH($B21,Assign!$F$82:$F$104,0)-1,0),"")</f>
        <v/>
      </c>
      <c r="D21" s="18" t="str">
        <f ca="1">IFERROR(OFFSET(Assign!$C$82,MATCH($B21,Assign!$F$82:$F$104,0)-1,0),"")</f>
        <v/>
      </c>
    </row>
    <row r="22" spans="2:4">
      <c r="B22" s="2">
        <v>21</v>
      </c>
      <c r="C22" s="2" t="str">
        <f ca="1">IFERROR(OFFSET(Assign!$B$82,MATCH($B22,Assign!$F$82:$F$104,0)-1,0),"")</f>
        <v/>
      </c>
      <c r="D22" s="18" t="str">
        <f ca="1">IFERROR(OFFSET(Assign!$C$82,MATCH($B22,Assign!$F$82:$F$104,0)-1,0),"")</f>
        <v/>
      </c>
    </row>
    <row r="23" spans="2:4">
      <c r="B23" s="2">
        <v>22</v>
      </c>
      <c r="C23" s="2" t="str">
        <f ca="1">IFERROR(OFFSET(Assign!$B$82,MATCH($B23,Assign!$F$82:$F$104,0)-1,0),"")</f>
        <v/>
      </c>
      <c r="D23" s="18" t="str">
        <f ca="1">IFERROR(OFFSET(Assign!$C$82,MATCH($B23,Assign!$F$82:$F$104,0)-1,0),"")</f>
        <v/>
      </c>
    </row>
    <row r="24" spans="2:4">
      <c r="B24" s="2">
        <v>23</v>
      </c>
      <c r="C24" s="2" t="str">
        <f ca="1">IFERROR(OFFSET(Assign!$B$82,MATCH($B24,Assign!$F$82:$F$104,0)-1,0),"")</f>
        <v/>
      </c>
      <c r="D24" s="18" t="str">
        <f ca="1">IFERROR(OFFSET(Assign!$C$82,MATCH($B24,Assign!$F$82:$F$104,0)-1,0),"")</f>
        <v/>
      </c>
    </row>
    <row r="25" spans="2:4">
      <c r="B25" s="2">
        <v>24</v>
      </c>
      <c r="C25" s="2" t="str">
        <f ca="1">IFERROR(OFFSET(Assign!$B$82,MATCH($B25,Assign!$F$82:$F$104,0)-1,0),"")</f>
        <v/>
      </c>
      <c r="D25" s="18" t="str">
        <f ca="1">IFERROR(OFFSET(Assign!$C$82,MATCH($B25,Assign!$F$82:$F$104,0)-1,0),"")</f>
        <v/>
      </c>
    </row>
    <row r="26" spans="2:4">
      <c r="B26" s="2">
        <v>25</v>
      </c>
      <c r="C26" s="2" t="str">
        <f ca="1">IFERROR(OFFSET(Assign!$B$82,MATCH($B26,Assign!$F$82:$F$104,0)-1,0),"")</f>
        <v/>
      </c>
      <c r="D26" s="18" t="str">
        <f ca="1">IFERROR(OFFSET(Assign!$C$82,MATCH($B26,Assign!$F$82:$F$104,0)-1,0),"")</f>
        <v/>
      </c>
    </row>
    <row r="27" spans="2:4">
      <c r="B27" s="2">
        <v>26</v>
      </c>
      <c r="C27" s="2" t="str">
        <f ca="1">IFERROR(OFFSET(Assign!$B$82,MATCH($B27,Assign!$F$82:$F$104,0)-1,0),"")</f>
        <v/>
      </c>
      <c r="D27" s="18" t="str">
        <f ca="1">IFERROR(OFFSET(Assign!$C$82,MATCH($B27,Assign!$F$82:$F$104,0)-1,0),"")</f>
        <v/>
      </c>
    </row>
    <row r="28" spans="2:4">
      <c r="B28" s="2">
        <v>27</v>
      </c>
      <c r="C28" s="2" t="str">
        <f ca="1">IFERROR(OFFSET(Assign!$B$82,MATCH($B28,Assign!$F$82:$F$104,0)-1,0),"")</f>
        <v/>
      </c>
      <c r="D28" s="18" t="str">
        <f ca="1">IFERROR(OFFSET(Assign!$C$82,MATCH($B28,Assign!$F$82:$F$104,0)-1,0),"")</f>
        <v/>
      </c>
    </row>
    <row r="29" spans="2:4">
      <c r="B29" s="2">
        <v>28</v>
      </c>
      <c r="C29" s="2" t="str">
        <f ca="1">IFERROR(OFFSET(Assign!$B$82,MATCH($B29,Assign!$F$82:$F$104,0)-1,0),"")</f>
        <v/>
      </c>
      <c r="D29" s="18" t="str">
        <f ca="1">IFERROR(OFFSET(Assign!$C$82,MATCH($B29,Assign!$F$82:$F$104,0)-1,0),"")</f>
        <v/>
      </c>
    </row>
    <row r="30" spans="2:4">
      <c r="B30" s="2">
        <v>29</v>
      </c>
      <c r="C30" s="2" t="str">
        <f ca="1">IFERROR(OFFSET(Assign!$B$82,MATCH($B30,Assign!$F$82:$F$104,0)-1,0),"")</f>
        <v/>
      </c>
      <c r="D30" s="18" t="str">
        <f ca="1">IFERROR(OFFSET(Assign!$C$82,MATCH($B30,Assign!$F$82:$F$104,0)-1,0),"")</f>
        <v/>
      </c>
    </row>
    <row r="31" spans="2:4">
      <c r="B31" s="2">
        <v>30</v>
      </c>
      <c r="C31" s="2" t="str">
        <f ca="1">IFERROR(OFFSET(Assign!$B$82,MATCH($B31,Assign!$F$82:$F$104,0)-1,0),"")</f>
        <v/>
      </c>
      <c r="D31" s="18" t="str">
        <f ca="1">IFERROR(OFFSET(Assign!$C$82,MATCH($B31,Assign!$F$82:$F$104,0)-1,0),"")</f>
        <v/>
      </c>
    </row>
    <row r="32" spans="2:4">
      <c r="B32" s="2">
        <v>31</v>
      </c>
      <c r="C32" s="2" t="str">
        <f ca="1">IFERROR(OFFSET(Assign!$B$82,MATCH($B32,Assign!$F$82:$F$104,0)-1,0),"")</f>
        <v/>
      </c>
      <c r="D32" s="18" t="str">
        <f ca="1">IFERROR(OFFSET(Assign!$C$82,MATCH($B32,Assign!$F$82:$F$104,0)-1,0),"")</f>
        <v/>
      </c>
    </row>
    <row r="33" spans="2:4">
      <c r="B33" s="2">
        <v>32</v>
      </c>
      <c r="C33" s="2" t="str">
        <f ca="1">IFERROR(OFFSET(Assign!$B$82,MATCH($B33,Assign!$F$82:$F$104,0)-1,0),"")</f>
        <v/>
      </c>
      <c r="D33" s="18" t="str">
        <f ca="1">IFERROR(OFFSET(Assign!$C$82,MATCH($B33,Assign!$F$82:$F$104,0)-1,0),"")</f>
        <v/>
      </c>
    </row>
    <row r="34" spans="2:4">
      <c r="B34" s="2">
        <v>33</v>
      </c>
      <c r="C34" s="2" t="str">
        <f ca="1">IFERROR(OFFSET(Assign!$B$82,MATCH($B34,Assign!$F$82:$F$104,0)-1,0),"")</f>
        <v/>
      </c>
      <c r="D34" s="18" t="str">
        <f ca="1">IFERROR(OFFSET(Assign!$C$82,MATCH($B34,Assign!$F$82:$F$104,0)-1,0),"")</f>
        <v/>
      </c>
    </row>
    <row r="35" spans="2:4">
      <c r="B35" s="2">
        <v>34</v>
      </c>
      <c r="C35" s="2" t="str">
        <f ca="1">IFERROR(OFFSET(Assign!$B$82,MATCH($B35,Assign!$F$82:$F$104,0)-1,0),"")</f>
        <v/>
      </c>
      <c r="D35" s="18" t="str">
        <f ca="1">IFERROR(OFFSET(Assign!$C$82,MATCH($B35,Assign!$F$82:$F$104,0)-1,0),"")</f>
        <v/>
      </c>
    </row>
    <row r="36" spans="2:4">
      <c r="B36" s="2">
        <v>35</v>
      </c>
      <c r="C36" s="2" t="str">
        <f ca="1">IFERROR(OFFSET(Assign!$B$82,MATCH($B36,Assign!$F$82:$F$104,0)-1,0),"")</f>
        <v/>
      </c>
      <c r="D36" s="18" t="str">
        <f ca="1">IFERROR(OFFSET(Assign!$C$82,MATCH($B36,Assign!$F$82:$F$104,0)-1,0),"")</f>
        <v/>
      </c>
    </row>
    <row r="37" spans="2:4">
      <c r="B37" s="2">
        <v>36</v>
      </c>
      <c r="C37" s="2" t="str">
        <f ca="1">IFERROR(OFFSET(Assign!$B$82,MATCH($B37,Assign!$F$82:$F$104,0)-1,0),"")</f>
        <v/>
      </c>
      <c r="D37" s="18" t="str">
        <f ca="1">IFERROR(OFFSET(Assign!$C$82,MATCH($B37,Assign!$F$82:$F$104,0)-1,0),"")</f>
        <v/>
      </c>
    </row>
    <row r="38" spans="2:4">
      <c r="B38" s="2">
        <v>37</v>
      </c>
      <c r="C38" s="2" t="str">
        <f ca="1">IFERROR(OFFSET(Assign!$B$82,MATCH($B38,Assign!$F$82:$F$104,0)-1,0),"")</f>
        <v/>
      </c>
      <c r="D38" s="18" t="str">
        <f ca="1">IFERROR(OFFSET(Assign!$C$82,MATCH($B38,Assign!$F$82:$F$104,0)-1,0),"")</f>
        <v/>
      </c>
    </row>
    <row r="39" spans="2:4">
      <c r="B39" s="2">
        <v>38</v>
      </c>
      <c r="C39" s="2" t="str">
        <f ca="1">IFERROR(OFFSET(Assign!$B$82,MATCH($B39,Assign!$F$82:$F$104,0)-1,0),"")</f>
        <v/>
      </c>
      <c r="D39" s="18" t="str">
        <f ca="1">IFERROR(OFFSET(Assign!$C$82,MATCH($B39,Assign!$F$82:$F$104,0)-1,0),"")</f>
        <v/>
      </c>
    </row>
    <row r="40" spans="2:4">
      <c r="B40" s="2">
        <v>39</v>
      </c>
      <c r="C40" s="2" t="str">
        <f ca="1">IFERROR(OFFSET(Assign!$B$82,MATCH($B40,Assign!$F$82:$F$104,0)-1,0),"")</f>
        <v/>
      </c>
      <c r="D40" s="18" t="str">
        <f ca="1">IFERROR(OFFSET(Assign!$C$82,MATCH($B40,Assign!$F$82:$F$104,0)-1,0),"")</f>
        <v/>
      </c>
    </row>
    <row r="41" spans="2:4">
      <c r="B41" s="2">
        <v>40</v>
      </c>
      <c r="C41" s="2" t="str">
        <f ca="1">IFERROR(OFFSET(Assign!$B$82,MATCH($B41,Assign!$F$82:$F$104,0)-1,0),"")</f>
        <v/>
      </c>
      <c r="D41" s="18" t="str">
        <f ca="1">IFERROR(OFFSET(Assign!$C$82,MATCH($B41,Assign!$F$82:$F$104,0)-1,0),"")</f>
        <v/>
      </c>
    </row>
    <row r="42" spans="2:4">
      <c r="B42" s="2">
        <v>41</v>
      </c>
      <c r="C42" s="2" t="str">
        <f ca="1">IFERROR(OFFSET(Assign!$B$82,MATCH($B42,Assign!$F$82:$F$104,0)-1,0),"")</f>
        <v/>
      </c>
      <c r="D42" s="18" t="str">
        <f ca="1">IFERROR(OFFSET(Assign!$C$82,MATCH($B42,Assign!$F$82:$F$104,0)-1,0),"")</f>
        <v/>
      </c>
    </row>
    <row r="43" spans="2:4">
      <c r="B43" s="2">
        <v>42</v>
      </c>
      <c r="C43" s="2" t="str">
        <f ca="1">IFERROR(OFFSET(Assign!$B$82,MATCH($B43,Assign!$F$82:$F$104,0)-1,0),"")</f>
        <v/>
      </c>
      <c r="D43" s="18" t="str">
        <f ca="1">IFERROR(OFFSET(Assign!$C$82,MATCH($B43,Assign!$F$82:$F$104,0)-1,0),"")</f>
        <v/>
      </c>
    </row>
    <row r="44" spans="2:4">
      <c r="B44" s="2">
        <v>43</v>
      </c>
      <c r="C44" s="2" t="str">
        <f ca="1">IFERROR(OFFSET(Assign!$B$82,MATCH($B44,Assign!$F$82:$F$104,0)-1,0),"")</f>
        <v/>
      </c>
      <c r="D44" s="18" t="str">
        <f ca="1">IFERROR(OFFSET(Assign!$C$82,MATCH($B44,Assign!$F$82:$F$104,0)-1,0),"")</f>
        <v/>
      </c>
    </row>
    <row r="45" spans="2:4">
      <c r="B45" s="2">
        <v>44</v>
      </c>
      <c r="C45" s="2" t="str">
        <f ca="1">IFERROR(OFFSET(Assign!$B$82,MATCH($B45,Assign!$F$82:$F$104,0)-1,0),"")</f>
        <v/>
      </c>
      <c r="D45" s="18" t="str">
        <f ca="1">IFERROR(OFFSET(Assign!$C$82,MATCH($B45,Assign!$F$82:$F$104,0)-1,0),"")</f>
        <v/>
      </c>
    </row>
    <row r="46" spans="2:4">
      <c r="B46" s="2">
        <v>45</v>
      </c>
      <c r="C46" s="2" t="str">
        <f ca="1">IFERROR(OFFSET(Assign!$B$82,MATCH($B46,Assign!$F$82:$F$104,0)-1,0),"")</f>
        <v/>
      </c>
      <c r="D46" s="18" t="str">
        <f ca="1">IFERROR(OFFSET(Assign!$C$82,MATCH($B46,Assign!$F$82:$F$104,0)-1,0),"")</f>
        <v/>
      </c>
    </row>
    <row r="47" spans="2:4">
      <c r="B47" s="2">
        <v>46</v>
      </c>
      <c r="C47" s="2" t="str">
        <f ca="1">IFERROR(OFFSET(Assign!$B$82,MATCH($B47,Assign!$F$82:$F$104,0)-1,0),"")</f>
        <v/>
      </c>
      <c r="D47" s="18" t="str">
        <f ca="1">IFERROR(OFFSET(Assign!$C$82,MATCH($B47,Assign!$F$82:$F$104,0)-1,0),"")</f>
        <v/>
      </c>
    </row>
    <row r="48" spans="2:4">
      <c r="B48" s="2">
        <v>47</v>
      </c>
      <c r="C48" s="2" t="str">
        <f ca="1">IFERROR(OFFSET(Assign!$B$82,MATCH($B48,Assign!$F$82:$F$104,0)-1,0),"")</f>
        <v/>
      </c>
      <c r="D48" s="18" t="str">
        <f ca="1">IFERROR(OFFSET(Assign!$C$82,MATCH($B48,Assign!$F$82:$F$104,0)-1,0),"")</f>
        <v/>
      </c>
    </row>
    <row r="49" spans="2:4">
      <c r="B49" s="2">
        <v>48</v>
      </c>
      <c r="C49" s="2" t="str">
        <f ca="1">IFERROR(OFFSET(Assign!$B$82,MATCH($B49,Assign!$F$82:$F$104,0)-1,0),"")</f>
        <v/>
      </c>
      <c r="D49" s="18" t="str">
        <f ca="1">IFERROR(OFFSET(Assign!$C$82,MATCH($B49,Assign!$F$82:$F$104,0)-1,0),"")</f>
        <v/>
      </c>
    </row>
    <row r="50" spans="2:4">
      <c r="B50" s="2">
        <v>49</v>
      </c>
      <c r="C50" s="2" t="str">
        <f ca="1">IFERROR(OFFSET(Assign!$B$82,MATCH($B50,Assign!$F$82:$F$104,0)-1,0),"")</f>
        <v/>
      </c>
      <c r="D50" s="18" t="str">
        <f ca="1">IFERROR(OFFSET(Assign!$C$82,MATCH($B50,Assign!$F$82:$F$104,0)-1,0),"")</f>
        <v/>
      </c>
    </row>
    <row r="51" spans="2:4">
      <c r="B51" s="2">
        <v>50</v>
      </c>
      <c r="C51" s="2" t="str">
        <f ca="1">IFERROR(OFFSET(Assign!$B$82,MATCH($B51,Assign!$F$82:$F$104,0)-1,0),"")</f>
        <v/>
      </c>
      <c r="D51" s="18" t="str">
        <f ca="1">IFERROR(OFFSET(Assign!$C$82,MATCH($B51,Assign!$F$82:$F$104,0)-1,0),"")</f>
        <v/>
      </c>
    </row>
    <row r="52" spans="2:4">
      <c r="B52" s="2">
        <v>51</v>
      </c>
      <c r="C52" s="2" t="str">
        <f ca="1">IFERROR(OFFSET(Assign!$B$82,MATCH($B52,Assign!$F$82:$F$104,0)-1,0),"")</f>
        <v/>
      </c>
      <c r="D52" s="18" t="str">
        <f ca="1">IFERROR(OFFSET(Assign!$C$82,MATCH($B52,Assign!$F$82:$F$104,0)-1,0),"")</f>
        <v/>
      </c>
    </row>
    <row r="53" spans="2:4">
      <c r="B53" s="2">
        <v>52</v>
      </c>
      <c r="C53" s="2" t="str">
        <f ca="1">IFERROR(OFFSET(Assign!$B$82,MATCH($B53,Assign!$F$82:$F$104,0)-1,0),"")</f>
        <v/>
      </c>
      <c r="D53" s="18" t="str">
        <f ca="1">IFERROR(OFFSET(Assign!$C$82,MATCH($B53,Assign!$F$82:$F$104,0)-1,0),"")</f>
        <v/>
      </c>
    </row>
    <row r="54" spans="2:4">
      <c r="B54" s="2">
        <v>53</v>
      </c>
      <c r="C54" s="2" t="str">
        <f ca="1">IFERROR(OFFSET(Assign!$B$82,MATCH($B54,Assign!$F$82:$F$104,0)-1,0),"")</f>
        <v/>
      </c>
      <c r="D54" s="18" t="str">
        <f ca="1">IFERROR(OFFSET(Assign!$C$82,MATCH($B54,Assign!$F$82:$F$104,0)-1,0),"")</f>
        <v/>
      </c>
    </row>
    <row r="55" spans="2:4">
      <c r="B55" s="2">
        <v>54</v>
      </c>
      <c r="C55" s="2" t="str">
        <f ca="1">IFERROR(OFFSET(Assign!$B$82,MATCH($B55,Assign!$F$82:$F$104,0)-1,0),"")</f>
        <v/>
      </c>
      <c r="D55" s="18" t="str">
        <f ca="1">IFERROR(OFFSET(Assign!$C$82,MATCH($B55,Assign!$F$82:$F$104,0)-1,0),"")</f>
        <v/>
      </c>
    </row>
    <row r="56" spans="2:4">
      <c r="B56" s="2">
        <v>55</v>
      </c>
      <c r="C56" s="2" t="str">
        <f ca="1">IFERROR(OFFSET(Assign!$B$82,MATCH($B56,Assign!$F$82:$F$104,0)-1,0),"")</f>
        <v/>
      </c>
      <c r="D56" s="18" t="str">
        <f ca="1">IFERROR(OFFSET(Assign!$C$82,MATCH($B56,Assign!$F$82:$F$104,0)-1,0),"")</f>
        <v/>
      </c>
    </row>
    <row r="57" spans="2:4">
      <c r="B57" s="2">
        <v>56</v>
      </c>
      <c r="C57" s="2" t="str">
        <f ca="1">IFERROR(OFFSET(Assign!$B$82,MATCH($B57,Assign!$F$82:$F$104,0)-1,0),"")</f>
        <v/>
      </c>
      <c r="D57" s="18" t="str">
        <f ca="1">IFERROR(OFFSET(Assign!$C$82,MATCH($B57,Assign!$F$82:$F$104,0)-1,0),"")</f>
        <v/>
      </c>
    </row>
    <row r="58" spans="2:4">
      <c r="B58" s="2">
        <v>57</v>
      </c>
      <c r="C58" s="2" t="str">
        <f ca="1">IFERROR(OFFSET(Assign!$B$82,MATCH($B58,Assign!$F$82:$F$104,0)-1,0),"")</f>
        <v/>
      </c>
      <c r="D58" s="18" t="str">
        <f ca="1">IFERROR(OFFSET(Assign!$C$82,MATCH($B58,Assign!$F$82:$F$104,0)-1,0),"")</f>
        <v/>
      </c>
    </row>
    <row r="59" spans="2:4">
      <c r="B59" s="2">
        <v>58</v>
      </c>
      <c r="C59" s="2" t="str">
        <f ca="1">IFERROR(OFFSET(Assign!$B$82,MATCH($B59,Assign!$F$82:$F$104,0)-1,0),"")</f>
        <v/>
      </c>
      <c r="D59" s="18" t="str">
        <f ca="1">IFERROR(OFFSET(Assign!$C$82,MATCH($B59,Assign!$F$82:$F$104,0)-1,0),"")</f>
        <v/>
      </c>
    </row>
    <row r="60" spans="2:4">
      <c r="B60" s="2">
        <v>59</v>
      </c>
      <c r="C60" s="2" t="str">
        <f ca="1">IFERROR(OFFSET(Assign!$B$82,MATCH($B60,Assign!$F$82:$F$104,0)-1,0),"")</f>
        <v/>
      </c>
      <c r="D60" s="18" t="str">
        <f ca="1">IFERROR(OFFSET(Assign!$C$82,MATCH($B60,Assign!$F$82:$F$104,0)-1,0),"")</f>
        <v/>
      </c>
    </row>
    <row r="61" spans="2:4">
      <c r="B61" s="2">
        <v>60</v>
      </c>
      <c r="C61" s="2" t="str">
        <f ca="1">IFERROR(OFFSET(Assign!$B$82,MATCH($B61,Assign!$F$82:$F$104,0)-1,0),"")</f>
        <v/>
      </c>
      <c r="D61" s="18" t="str">
        <f ca="1">IFERROR(OFFSET(Assign!$C$82,MATCH($B61,Assign!$F$82:$F$104,0)-1,0),"")</f>
        <v/>
      </c>
    </row>
    <row r="62" spans="2:4">
      <c r="B62" s="2">
        <v>61</v>
      </c>
      <c r="C62" s="2" t="str">
        <f ca="1">IFERROR(OFFSET(Assign!$B$82,MATCH($B62,Assign!$F$82:$F$104,0)-1,0),"")</f>
        <v/>
      </c>
      <c r="D62" s="18" t="str">
        <f ca="1">IFERROR(OFFSET(Assign!$C$82,MATCH($B62,Assign!$F$82:$F$104,0)-1,0),"")</f>
        <v/>
      </c>
    </row>
    <row r="63" spans="2:4">
      <c r="B63" s="2">
        <v>62</v>
      </c>
      <c r="C63" s="2" t="str">
        <f ca="1">IFERROR(OFFSET(Assign!$B$82,MATCH($B63,Assign!$F$82:$F$104,0)-1,0),"")</f>
        <v/>
      </c>
      <c r="D63" s="18" t="str">
        <f ca="1">IFERROR(OFFSET(Assign!$C$82,MATCH($B63,Assign!$F$82:$F$104,0)-1,0),"")</f>
        <v/>
      </c>
    </row>
    <row r="64" spans="2:4">
      <c r="B64" s="2">
        <v>63</v>
      </c>
      <c r="C64" s="2" t="str">
        <f ca="1">IFERROR(OFFSET(Assign!$B$82,MATCH($B64,Assign!$F$82:$F$104,0)-1,0),"")</f>
        <v/>
      </c>
      <c r="D64" s="18" t="str">
        <f ca="1">IFERROR(OFFSET(Assign!$C$82,MATCH($B64,Assign!$F$82:$F$104,0)-1,0),"")</f>
        <v/>
      </c>
    </row>
    <row r="65" spans="2:4">
      <c r="B65" s="2">
        <v>64</v>
      </c>
      <c r="C65" s="2" t="str">
        <f ca="1">IFERROR(OFFSET(Assign!$B$82,MATCH($B65,Assign!$F$82:$F$104,0)-1,0),"")</f>
        <v/>
      </c>
      <c r="D65" s="18" t="str">
        <f ca="1">IFERROR(OFFSET(Assign!$C$82,MATCH($B65,Assign!$F$82:$F$104,0)-1,0),"")</f>
        <v/>
      </c>
    </row>
    <row r="66" spans="2:4">
      <c r="B66" s="2">
        <v>65</v>
      </c>
      <c r="C66" s="2" t="str">
        <f ca="1">IFERROR(OFFSET(Assign!$B$82,MATCH($B66,Assign!$F$82:$F$104,0)-1,0),"")</f>
        <v/>
      </c>
      <c r="D66" s="18" t="str">
        <f ca="1">IFERROR(OFFSET(Assign!$C$82,MATCH($B66,Assign!$F$82:$F$104,0)-1,0),"")</f>
        <v/>
      </c>
    </row>
    <row r="67" spans="2:4">
      <c r="B67" s="2">
        <v>66</v>
      </c>
      <c r="C67" s="2" t="str">
        <f ca="1">IFERROR(OFFSET(Assign!$B$82,MATCH($B67,Assign!$F$82:$F$104,0)-1,0),"")</f>
        <v/>
      </c>
      <c r="D67" s="18" t="str">
        <f ca="1">IFERROR(OFFSET(Assign!$C$82,MATCH($B67,Assign!$F$82:$F$104,0)-1,0),"")</f>
        <v/>
      </c>
    </row>
    <row r="68" spans="2:4">
      <c r="B68" s="2">
        <v>67</v>
      </c>
      <c r="C68" s="2" t="str">
        <f ca="1">IFERROR(OFFSET(Assign!$B$82,MATCH($B68,Assign!$F$82:$F$104,0)-1,0),"")</f>
        <v/>
      </c>
      <c r="D68" s="18" t="str">
        <f ca="1">IFERROR(OFFSET(Assign!$C$82,MATCH($B68,Assign!$F$82:$F$104,0)-1,0),"")</f>
        <v/>
      </c>
    </row>
    <row r="69" spans="2:4">
      <c r="B69" s="2">
        <v>68</v>
      </c>
      <c r="C69" s="2" t="str">
        <f ca="1">IFERROR(OFFSET(Assign!$B$82,MATCH($B69,Assign!$F$82:$F$104,0)-1,0),"")</f>
        <v/>
      </c>
      <c r="D69" s="18" t="str">
        <f ca="1">IFERROR(OFFSET(Assign!$C$82,MATCH($B69,Assign!$F$82:$F$104,0)-1,0),"")</f>
        <v/>
      </c>
    </row>
    <row r="70" spans="2:4">
      <c r="B70" s="2">
        <v>69</v>
      </c>
      <c r="C70" s="2" t="str">
        <f ca="1">IFERROR(OFFSET(Assign!$B$82,MATCH($B70,Assign!$F$82:$F$104,0)-1,0),"")</f>
        <v/>
      </c>
      <c r="D70" s="18" t="str">
        <f ca="1">IFERROR(OFFSET(Assign!$C$82,MATCH($B70,Assign!$F$82:$F$104,0)-1,0),"")</f>
        <v/>
      </c>
    </row>
    <row r="71" spans="2:4">
      <c r="B71" s="2">
        <v>70</v>
      </c>
      <c r="C71" s="2" t="str">
        <f ca="1">IFERROR(OFFSET(Assign!$B$82,MATCH($B71,Assign!$F$82:$F$104,0)-1,0),"")</f>
        <v/>
      </c>
      <c r="D71" s="18" t="str">
        <f ca="1">IFERROR(OFFSET(Assign!$C$82,MATCH($B71,Assign!$F$82:$F$104,0)-1,0),"")</f>
        <v/>
      </c>
    </row>
    <row r="72" spans="2:4">
      <c r="B72" s="2">
        <v>71</v>
      </c>
      <c r="C72" s="2" t="str">
        <f ca="1">IFERROR(OFFSET(Assign!$B$82,MATCH($B72,Assign!$F$82:$F$104,0)-1,0),"")</f>
        <v/>
      </c>
      <c r="D72" s="18" t="str">
        <f ca="1">IFERROR(OFFSET(Assign!$C$82,MATCH($B72,Assign!$F$82:$F$104,0)-1,0),"")</f>
        <v/>
      </c>
    </row>
    <row r="73" spans="2:4">
      <c r="B73" s="2">
        <v>72</v>
      </c>
      <c r="C73" s="2" t="str">
        <f ca="1">IFERROR(OFFSET(Assign!$B$82,MATCH($B73,Assign!$F$82:$F$104,0)-1,0),"")</f>
        <v/>
      </c>
      <c r="D73" s="18" t="str">
        <f ca="1">IFERROR(OFFSET(Assign!$C$82,MATCH($B73,Assign!$F$82:$F$104,0)-1,0),"")</f>
        <v/>
      </c>
    </row>
    <row r="74" spans="2:4">
      <c r="B74" s="2">
        <v>73</v>
      </c>
      <c r="C74" s="2" t="str">
        <f ca="1">IFERROR(OFFSET(Assign!$B$82,MATCH($B74,Assign!$F$82:$F$104,0)-1,0),"")</f>
        <v/>
      </c>
      <c r="D74" s="18" t="str">
        <f ca="1">IFERROR(OFFSET(Assign!$C$82,MATCH($B74,Assign!$F$82:$F$104,0)-1,0),"")</f>
        <v/>
      </c>
    </row>
    <row r="75" spans="2:4">
      <c r="B75" s="2">
        <v>74</v>
      </c>
      <c r="C75" s="2" t="str">
        <f ca="1">IFERROR(OFFSET(Assign!$B$82,MATCH($B75,Assign!$F$82:$F$104,0)-1,0),"")</f>
        <v/>
      </c>
      <c r="D75" s="18" t="str">
        <f ca="1">IFERROR(OFFSET(Assign!$C$82,MATCH($B75,Assign!$F$82:$F$104,0)-1,0),"")</f>
        <v/>
      </c>
    </row>
    <row r="76" spans="2:4">
      <c r="B76" s="2">
        <v>75</v>
      </c>
      <c r="C76" s="2" t="str">
        <f ca="1">IFERROR(OFFSET(Assign!$B$82,MATCH($B76,Assign!$F$82:$F$104,0)-1,0),"")</f>
        <v/>
      </c>
      <c r="D76" s="18" t="str">
        <f ca="1">IFERROR(OFFSET(Assign!$C$82,MATCH($B76,Assign!$F$82:$F$104,0)-1,0),"")</f>
        <v/>
      </c>
    </row>
    <row r="77" spans="2:4">
      <c r="B77" s="2">
        <v>76</v>
      </c>
      <c r="C77" s="2" t="str">
        <f ca="1">IFERROR(OFFSET(Assign!$B$82,MATCH($B77,Assign!$F$82:$F$104,0)-1,0),"")</f>
        <v/>
      </c>
      <c r="D77" s="18" t="str">
        <f ca="1">IFERROR(OFFSET(Assign!$C$82,MATCH($B77,Assign!$F$82:$F$104,0)-1,0),"")</f>
        <v/>
      </c>
    </row>
    <row r="78" spans="2:4">
      <c r="B78" s="2">
        <v>77</v>
      </c>
      <c r="C78" s="2" t="str">
        <f ca="1">IFERROR(OFFSET(Assign!$B$82,MATCH($B78,Assign!$F$82:$F$104,0)-1,0),"")</f>
        <v/>
      </c>
      <c r="D78" s="18" t="str">
        <f ca="1">IFERROR(OFFSET(Assign!$C$82,MATCH($B78,Assign!$F$82:$F$104,0)-1,0),"")</f>
        <v/>
      </c>
    </row>
    <row r="79" spans="2:4">
      <c r="B79" s="2">
        <v>78</v>
      </c>
      <c r="C79" s="2" t="str">
        <f ca="1">IFERROR(OFFSET(Assign!$B$82,MATCH($B79,Assign!$F$82:$F$104,0)-1,0),"")</f>
        <v/>
      </c>
      <c r="D79" s="18" t="str">
        <f ca="1">IFERROR(OFFSET(Assign!$C$82,MATCH($B79,Assign!$F$82:$F$104,0)-1,0),"")</f>
        <v/>
      </c>
    </row>
    <row r="80" spans="2:4">
      <c r="B80" s="2">
        <v>79</v>
      </c>
      <c r="C80" s="2" t="str">
        <f ca="1">IFERROR(OFFSET(Assign!$B$82,MATCH($B80,Assign!$F$82:$F$104,0)-1,0),"")</f>
        <v/>
      </c>
      <c r="D80" s="18" t="str">
        <f ca="1">IFERROR(OFFSET(Assign!$C$82,MATCH($B80,Assign!$F$82:$F$104,0)-1,0),"")</f>
        <v/>
      </c>
    </row>
    <row r="81" spans="2:4">
      <c r="B81" s="2">
        <v>80</v>
      </c>
      <c r="C81" s="2" t="str">
        <f ca="1">IFERROR(OFFSET(Assign!$B$82,MATCH($B81,Assign!$F$82:$F$104,0)-1,0),"")</f>
        <v/>
      </c>
      <c r="D81" s="18" t="str">
        <f ca="1">IFERROR(OFFSET(Assign!$C$82,MATCH($B81,Assign!$F$82:$F$104,0)-1,0),"")</f>
        <v/>
      </c>
    </row>
    <row r="82" spans="2:4">
      <c r="B82" s="2">
        <v>81</v>
      </c>
      <c r="C82" s="2" t="str">
        <f ca="1">IFERROR(OFFSET(Assign!$B$82,MATCH($B82,Assign!$F$82:$F$104,0)-1,0),"")</f>
        <v/>
      </c>
      <c r="D82" s="18" t="str">
        <f ca="1">IFERROR(OFFSET(Assign!$C$82,MATCH($B82,Assign!$F$82:$F$104,0)-1,0),"")</f>
        <v/>
      </c>
    </row>
    <row r="83" spans="2:4">
      <c r="B83" s="2">
        <v>82</v>
      </c>
      <c r="C83" s="2" t="str">
        <f ca="1">IFERROR(OFFSET(Assign!$B$82,MATCH($B83,Assign!$F$82:$F$104,0)-1,0),"")</f>
        <v/>
      </c>
      <c r="D83" s="18" t="str">
        <f ca="1">IFERROR(OFFSET(Assign!$C$82,MATCH($B83,Assign!$F$82:$F$104,0)-1,0),"")</f>
        <v/>
      </c>
    </row>
    <row r="84" spans="2:4">
      <c r="B84" s="2">
        <v>83</v>
      </c>
      <c r="C84" s="2" t="str">
        <f ca="1">IFERROR(OFFSET(Assign!$B$82,MATCH($B84,Assign!$F$82:$F$104,0)-1,0),"")</f>
        <v/>
      </c>
      <c r="D84" s="18" t="str">
        <f ca="1">IFERROR(OFFSET(Assign!$C$82,MATCH($B84,Assign!$F$82:$F$104,0)-1,0),"")</f>
        <v/>
      </c>
    </row>
    <row r="85" spans="2:4">
      <c r="B85" s="2">
        <v>84</v>
      </c>
      <c r="C85" s="2" t="str">
        <f ca="1">IFERROR(OFFSET(Assign!$B$82,MATCH($B85,Assign!$F$82:$F$104,0)-1,0),"")</f>
        <v/>
      </c>
      <c r="D85" s="18" t="str">
        <f ca="1">IFERROR(OFFSET(Assign!$C$82,MATCH($B85,Assign!$F$82:$F$104,0)-1,0),"")</f>
        <v/>
      </c>
    </row>
    <row r="86" spans="2:4">
      <c r="B86" s="2">
        <v>85</v>
      </c>
      <c r="C86" s="2" t="str">
        <f ca="1">IFERROR(OFFSET(Assign!$B$82,MATCH($B86,Assign!$F$82:$F$104,0)-1,0),"")</f>
        <v/>
      </c>
      <c r="D86" s="18" t="str">
        <f ca="1">IFERROR(OFFSET(Assign!$C$82,MATCH($B86,Assign!$F$82:$F$104,0)-1,0),"")</f>
        <v/>
      </c>
    </row>
    <row r="87" spans="2:4">
      <c r="B87" s="2">
        <v>86</v>
      </c>
      <c r="C87" s="2" t="str">
        <f ca="1">IFERROR(OFFSET(Assign!$B$82,MATCH($B87,Assign!$F$82:$F$104,0)-1,0),"")</f>
        <v/>
      </c>
      <c r="D87" s="18" t="str">
        <f ca="1">IFERROR(OFFSET(Assign!$C$82,MATCH($B87,Assign!$F$82:$F$104,0)-1,0),"")</f>
        <v/>
      </c>
    </row>
    <row r="88" spans="2:4">
      <c r="B88" s="2">
        <v>87</v>
      </c>
      <c r="C88" s="2" t="str">
        <f ca="1">IFERROR(OFFSET(Assign!$B$82,MATCH($B88,Assign!$F$82:$F$104,0)-1,0),"")</f>
        <v/>
      </c>
      <c r="D88" s="18" t="str">
        <f ca="1">IFERROR(OFFSET(Assign!$C$82,MATCH($B88,Assign!$F$82:$F$104,0)-1,0),"")</f>
        <v/>
      </c>
    </row>
    <row r="89" spans="2:4">
      <c r="B89" s="2">
        <v>88</v>
      </c>
      <c r="C89" s="2" t="str">
        <f ca="1">IFERROR(OFFSET(Assign!$B$82,MATCH($B89,Assign!$F$82:$F$104,0)-1,0),"")</f>
        <v/>
      </c>
      <c r="D89" s="18" t="str">
        <f ca="1">IFERROR(OFFSET(Assign!$C$82,MATCH($B89,Assign!$F$82:$F$104,0)-1,0),"")</f>
        <v/>
      </c>
    </row>
    <row r="90" spans="2:4">
      <c r="B90" s="2">
        <v>89</v>
      </c>
      <c r="C90" s="2" t="str">
        <f ca="1">IFERROR(OFFSET(Assign!$B$82,MATCH($B90,Assign!$F$82:$F$104,0)-1,0),"")</f>
        <v/>
      </c>
      <c r="D90" s="18" t="str">
        <f ca="1">IFERROR(OFFSET(Assign!$C$82,MATCH($B90,Assign!$F$82:$F$104,0)-1,0),"")</f>
        <v/>
      </c>
    </row>
    <row r="91" spans="2:4">
      <c r="B91" s="2">
        <v>90</v>
      </c>
      <c r="C91" s="2" t="str">
        <f ca="1">IFERROR(OFFSET(Assign!$B$82,MATCH($B91,Assign!$F$82:$F$104,0)-1,0),"")</f>
        <v/>
      </c>
      <c r="D91" s="18" t="str">
        <f ca="1">IFERROR(OFFSET(Assign!$C$82,MATCH($B91,Assign!$F$82:$F$104,0)-1,0),"")</f>
        <v/>
      </c>
    </row>
    <row r="92" spans="2:4">
      <c r="B92" s="2">
        <v>91</v>
      </c>
      <c r="C92" s="2" t="str">
        <f ca="1">IFERROR(OFFSET(Assign!$B$82,MATCH($B92,Assign!$F$82:$F$104,0)-1,0),"")</f>
        <v/>
      </c>
      <c r="D92" s="18" t="str">
        <f ca="1">IFERROR(OFFSET(Assign!$C$82,MATCH($B92,Assign!$F$82:$F$104,0)-1,0),"")</f>
        <v/>
      </c>
    </row>
    <row r="93" spans="2:4">
      <c r="B93" s="2">
        <v>92</v>
      </c>
      <c r="C93" s="2" t="str">
        <f ca="1">IFERROR(OFFSET(Assign!$B$82,MATCH($B93,Assign!$F$82:$F$104,0)-1,0),"")</f>
        <v/>
      </c>
      <c r="D93" s="18" t="str">
        <f ca="1">IFERROR(OFFSET(Assign!$C$82,MATCH($B93,Assign!$F$82:$F$104,0)-1,0),"")</f>
        <v/>
      </c>
    </row>
    <row r="94" spans="2:4">
      <c r="B94" s="2">
        <v>93</v>
      </c>
      <c r="C94" s="2" t="str">
        <f ca="1">IFERROR(OFFSET(Assign!$B$82,MATCH($B94,Assign!$F$82:$F$104,0)-1,0),"")</f>
        <v/>
      </c>
      <c r="D94" s="18" t="str">
        <f ca="1">IFERROR(OFFSET(Assign!$C$82,MATCH($B94,Assign!$F$82:$F$104,0)-1,0),"")</f>
        <v/>
      </c>
    </row>
    <row r="95" spans="2:4">
      <c r="B95" s="2">
        <v>94</v>
      </c>
      <c r="C95" s="2" t="str">
        <f ca="1">IFERROR(OFFSET(Assign!$B$82,MATCH($B95,Assign!$F$82:$F$104,0)-1,0),"")</f>
        <v/>
      </c>
      <c r="D95" s="18" t="str">
        <f ca="1">IFERROR(OFFSET(Assign!$C$82,MATCH($B95,Assign!$F$82:$F$104,0)-1,0),"")</f>
        <v/>
      </c>
    </row>
    <row r="96" spans="2:4">
      <c r="B96" s="2">
        <v>95</v>
      </c>
      <c r="C96" s="2" t="str">
        <f ca="1">IFERROR(OFFSET(Assign!$B$82,MATCH($B96,Assign!$F$82:$F$104,0)-1,0),"")</f>
        <v/>
      </c>
      <c r="D96" s="18" t="str">
        <f ca="1">IFERROR(OFFSET(Assign!$C$82,MATCH($B96,Assign!$F$82:$F$104,0)-1,0),"")</f>
        <v/>
      </c>
    </row>
    <row r="97" spans="2:4">
      <c r="B97" s="2">
        <v>96</v>
      </c>
      <c r="C97" s="2" t="str">
        <f ca="1">IFERROR(OFFSET(Assign!$B$82,MATCH($B97,Assign!$F$82:$F$104,0)-1,0),"")</f>
        <v/>
      </c>
      <c r="D97" s="18" t="str">
        <f ca="1">IFERROR(OFFSET(Assign!$C$82,MATCH($B97,Assign!$F$82:$F$104,0)-1,0),"")</f>
        <v/>
      </c>
    </row>
    <row r="98" spans="2:4">
      <c r="B98" s="2">
        <v>97</v>
      </c>
      <c r="C98" s="2" t="str">
        <f ca="1">IFERROR(OFFSET(Assign!$B$82,MATCH($B98,Assign!$F$82:$F$104,0)-1,0),"")</f>
        <v/>
      </c>
      <c r="D98" s="18" t="str">
        <f ca="1">IFERROR(OFFSET(Assign!$C$82,MATCH($B98,Assign!$F$82:$F$104,0)-1,0),"")</f>
        <v/>
      </c>
    </row>
    <row r="99" spans="2:4">
      <c r="B99" s="2">
        <v>98</v>
      </c>
      <c r="C99" s="2" t="str">
        <f ca="1">IFERROR(OFFSET(Assign!$B$82,MATCH($B99,Assign!$F$82:$F$104,0)-1,0),"")</f>
        <v/>
      </c>
      <c r="D99" s="18" t="str">
        <f ca="1">IFERROR(OFFSET(Assign!$C$82,MATCH($B99,Assign!$F$82:$F$104,0)-1,0),"")</f>
        <v/>
      </c>
    </row>
    <row r="100" spans="2:4">
      <c r="B100" s="2">
        <v>99</v>
      </c>
      <c r="C100" s="2" t="str">
        <f ca="1">IFERROR(OFFSET(Assign!$B$82,MATCH($B100,Assign!$F$82:$F$104,0)-1,0),"")</f>
        <v/>
      </c>
      <c r="D100" s="18" t="str">
        <f ca="1">IFERROR(OFFSET(Assign!$C$82,MATCH($B100,Assign!$F$82:$F$104,0)-1,0),"")</f>
        <v/>
      </c>
    </row>
    <row r="101" spans="2:4">
      <c r="B101" s="2">
        <v>100</v>
      </c>
      <c r="C101" s="2" t="str">
        <f ca="1">IFERROR(OFFSET(Assign!$B$82,MATCH($B101,Assign!$F$82:$F$104,0)-1,0),"")</f>
        <v/>
      </c>
      <c r="D101" s="18" t="str">
        <f ca="1">IFERROR(OFFSET(Assign!$C$82,MATCH($B101,Assign!$F$82:$F$104,0)-1,0),"")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G10" sqref="G10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9" style="2"/>
    <col min="6" max="6" width="10.25" style="2" customWidth="1"/>
    <col min="7" max="7" width="36" style="18" customWidth="1"/>
    <col min="8" max="16384" width="9" style="2"/>
  </cols>
  <sheetData>
    <row r="1" spans="2:7">
      <c r="B1" s="2" t="s">
        <v>89</v>
      </c>
      <c r="C1" s="2" t="s">
        <v>88</v>
      </c>
      <c r="D1" s="18" t="s">
        <v>87</v>
      </c>
      <c r="E1" s="2" t="s">
        <v>86</v>
      </c>
      <c r="F1" s="2" t="s">
        <v>192</v>
      </c>
      <c r="G1" s="18" t="s">
        <v>85</v>
      </c>
    </row>
    <row r="2" spans="2:7" ht="38.25">
      <c r="B2" s="2">
        <v>1</v>
      </c>
      <c r="C2" s="2">
        <f ca="1">IFERROR(OFFSET(Assign!$B$106,MATCH($B2,Assign!$F$106:$F$128,0)-1,0),"")</f>
        <v>54</v>
      </c>
      <c r="D2" s="18" t="str">
        <f ca="1">IFERROR(OFFSET(Assign!$C$106,MATCH($B2,Assign!$F$106:$F$128,0)-1,0),"")</f>
        <v>GPIO16/ SPIA_SIMO/ CANB_TX/ OUTPUTXBAR7/ EPWM5_A/ SCIA_TX/ SD1_D1/ EQEP1_STROBE/ PMBUSA_SCL/ XCLKOUT</v>
      </c>
      <c r="E2" s="2" t="s">
        <v>268</v>
      </c>
      <c r="F2" s="2" t="s">
        <v>227</v>
      </c>
      <c r="G2" s="18" t="s">
        <v>237</v>
      </c>
    </row>
    <row r="3" spans="2:7" ht="38.25">
      <c r="B3" s="2">
        <v>2</v>
      </c>
      <c r="C3" s="2">
        <f ca="1">IFERROR(OFFSET(Assign!$B$106,MATCH($B3,Assign!$F$106:$F$128,0)-1,0),"")</f>
        <v>55</v>
      </c>
      <c r="D3" s="18" t="str">
        <f ca="1">IFERROR(OFFSET(Assign!$C$106,MATCH($B3,Assign!$F$106:$F$128,0)-1,0),"")</f>
        <v>GPIO17/ SPIA_SOMI/ CANB_RX/ OUTPUTXBAR8/ EPWM5_B/ SCIA_RX/ SD1_C1/ EQEP1_INDEX/ PMBUSA_SDA</v>
      </c>
      <c r="E3" s="2" t="s">
        <v>269</v>
      </c>
      <c r="F3" s="2" t="s">
        <v>227</v>
      </c>
      <c r="G3" s="18" t="s">
        <v>238</v>
      </c>
    </row>
    <row r="4" spans="2:7">
      <c r="B4" s="2">
        <v>3</v>
      </c>
      <c r="C4" s="2" t="str">
        <f ca="1">IFERROR(OFFSET(Assign!$B$106,MATCH($B4,Assign!$F$106:$F$128,0)-1,0),"")</f>
        <v/>
      </c>
      <c r="D4" s="18" t="str">
        <f ca="1">IFERROR(OFFSET(Assign!$C$106,MATCH($B4,Assign!$F$106:$F$128,0)-1,0),"")</f>
        <v/>
      </c>
    </row>
    <row r="5" spans="2:7">
      <c r="B5" s="2">
        <v>4</v>
      </c>
      <c r="C5" s="2" t="str">
        <f ca="1">IFERROR(OFFSET(Assign!$B$106,MATCH($B5,Assign!$F$106:$F$128,0)-1,0),"")</f>
        <v/>
      </c>
      <c r="D5" s="18" t="str">
        <f ca="1">IFERROR(OFFSET(Assign!$C$106,MATCH($B5,Assign!$F$106:$F$128,0)-1,0),"")</f>
        <v/>
      </c>
    </row>
    <row r="6" spans="2:7">
      <c r="B6" s="2">
        <v>5</v>
      </c>
      <c r="C6" s="2" t="str">
        <f ca="1">IFERROR(OFFSET(Assign!$B$106,MATCH($B6,Assign!$F$106:$F$128,0)-1,0),"")</f>
        <v/>
      </c>
      <c r="D6" s="18" t="str">
        <f ca="1">IFERROR(OFFSET(Assign!$C$106,MATCH($B6,Assign!$F$106:$F$128,0)-1,0),"")</f>
        <v/>
      </c>
    </row>
    <row r="7" spans="2:7">
      <c r="B7" s="2">
        <v>6</v>
      </c>
      <c r="C7" s="2" t="str">
        <f ca="1">IFERROR(OFFSET(Assign!$B$106,MATCH($B7,Assign!$F$106:$F$128,0)-1,0),"")</f>
        <v/>
      </c>
      <c r="D7" s="18" t="str">
        <f ca="1">IFERROR(OFFSET(Assign!$C$106,MATCH($B7,Assign!$F$106:$F$128,0)-1,0),"")</f>
        <v/>
      </c>
    </row>
    <row r="8" spans="2:7">
      <c r="B8" s="2">
        <v>7</v>
      </c>
      <c r="C8" s="2" t="str">
        <f ca="1">IFERROR(OFFSET(Assign!$B$106,MATCH($B8,Assign!$F$106:$F$128,0)-1,0),"")</f>
        <v/>
      </c>
      <c r="D8" s="18" t="str">
        <f ca="1">IFERROR(OFFSET(Assign!$C$106,MATCH($B8,Assign!$F$106:$F$128,0)-1,0),"")</f>
        <v/>
      </c>
    </row>
    <row r="9" spans="2:7">
      <c r="B9" s="2">
        <v>8</v>
      </c>
      <c r="C9" s="2" t="str">
        <f ca="1">IFERROR(OFFSET(Assign!$B$106,MATCH($B9,Assign!$F$106:$F$128,0)-1,0),"")</f>
        <v/>
      </c>
      <c r="D9" s="18" t="str">
        <f ca="1">IFERROR(OFFSET(Assign!$C$106,MATCH($B9,Assign!$F$106:$F$128,0)-1,0),"")</f>
        <v/>
      </c>
    </row>
    <row r="10" spans="2:7">
      <c r="B10" s="2">
        <v>9</v>
      </c>
      <c r="C10" s="2" t="str">
        <f ca="1">IFERROR(OFFSET(Assign!$B$106,MATCH($B10,Assign!$F$106:$F$128,0)-1,0),"")</f>
        <v/>
      </c>
      <c r="D10" s="18" t="str">
        <f ca="1">IFERROR(OFFSET(Assign!$C$106,MATCH($B10,Assign!$F$106:$F$128,0)-1,0),"")</f>
        <v/>
      </c>
    </row>
    <row r="11" spans="2:7">
      <c r="B11" s="2">
        <v>10</v>
      </c>
      <c r="C11" s="2" t="str">
        <f ca="1">IFERROR(OFFSET(Assign!$B$106,MATCH($B11,Assign!$F$106:$F$128,0)-1,0),"")</f>
        <v/>
      </c>
      <c r="D11" s="18" t="str">
        <f ca="1">IFERROR(OFFSET(Assign!$C$106,MATCH($B11,Assign!$F$106:$F$128,0)-1,0),"")</f>
        <v/>
      </c>
    </row>
    <row r="12" spans="2:7">
      <c r="B12" s="2">
        <v>11</v>
      </c>
      <c r="C12" s="2" t="str">
        <f ca="1">IFERROR(OFFSET(Assign!$B$106,MATCH($B12,Assign!$F$106:$F$128,0)-1,0),"")</f>
        <v/>
      </c>
      <c r="D12" s="18" t="str">
        <f ca="1">IFERROR(OFFSET(Assign!$C$106,MATCH($B12,Assign!$F$106:$F$128,0)-1,0),"")</f>
        <v/>
      </c>
    </row>
    <row r="13" spans="2:7">
      <c r="B13" s="2">
        <v>12</v>
      </c>
      <c r="C13" s="2" t="str">
        <f ca="1">IFERROR(OFFSET(Assign!$B$106,MATCH($B13,Assign!$F$106:$F$128,0)-1,0),"")</f>
        <v/>
      </c>
      <c r="D13" s="18" t="str">
        <f ca="1">IFERROR(OFFSET(Assign!$C$106,MATCH($B13,Assign!$F$106:$F$128,0)-1,0),"")</f>
        <v/>
      </c>
    </row>
    <row r="14" spans="2:7">
      <c r="B14" s="2">
        <v>13</v>
      </c>
      <c r="C14" s="2" t="str">
        <f ca="1">IFERROR(OFFSET(Assign!$B$106,MATCH($B14,Assign!$F$106:$F$128,0)-1,0),"")</f>
        <v/>
      </c>
      <c r="D14" s="18" t="str">
        <f ca="1">IFERROR(OFFSET(Assign!$C$106,MATCH($B14,Assign!$F$106:$F$128,0)-1,0),"")</f>
        <v/>
      </c>
    </row>
    <row r="15" spans="2:7">
      <c r="B15" s="2">
        <v>14</v>
      </c>
      <c r="C15" s="2" t="str">
        <f ca="1">IFERROR(OFFSET(Assign!$B$106,MATCH($B15,Assign!$F$106:$F$128,0)-1,0),"")</f>
        <v/>
      </c>
      <c r="D15" s="18" t="str">
        <f ca="1">IFERROR(OFFSET(Assign!$C$106,MATCH($B15,Assign!$F$106:$F$128,0)-1,0),"")</f>
        <v/>
      </c>
    </row>
    <row r="16" spans="2:7">
      <c r="B16" s="2">
        <v>15</v>
      </c>
      <c r="C16" s="2" t="str">
        <f ca="1">IFERROR(OFFSET(Assign!$B$106,MATCH($B16,Assign!$F$106:$F$128,0)-1,0),"")</f>
        <v/>
      </c>
      <c r="D16" s="18" t="str">
        <f ca="1">IFERROR(OFFSET(Assign!$C$106,MATCH($B16,Assign!$F$106:$F$128,0)-1,0),"")</f>
        <v/>
      </c>
    </row>
    <row r="17" spans="2:4">
      <c r="B17" s="2">
        <v>16</v>
      </c>
      <c r="C17" s="2" t="str">
        <f ca="1">IFERROR(OFFSET(Assign!$B$106,MATCH($B17,Assign!$F$106:$F$128,0)-1,0),"")</f>
        <v/>
      </c>
      <c r="D17" s="18" t="str">
        <f ca="1">IFERROR(OFFSET(Assign!$C$106,MATCH($B17,Assign!$F$106:$F$128,0)-1,0),"")</f>
        <v/>
      </c>
    </row>
    <row r="18" spans="2:4">
      <c r="B18" s="2">
        <v>17</v>
      </c>
      <c r="C18" s="2" t="str">
        <f ca="1">IFERROR(OFFSET(Assign!$B$106,MATCH($B18,Assign!$F$106:$F$128,0)-1,0),"")</f>
        <v/>
      </c>
      <c r="D18" s="18" t="str">
        <f ca="1">IFERROR(OFFSET(Assign!$C$106,MATCH($B18,Assign!$F$106:$F$128,0)-1,0),"")</f>
        <v/>
      </c>
    </row>
    <row r="19" spans="2:4">
      <c r="B19" s="2">
        <v>18</v>
      </c>
      <c r="C19" s="2" t="str">
        <f ca="1">IFERROR(OFFSET(Assign!$B$106,MATCH($B19,Assign!$F$106:$F$128,0)-1,0),"")</f>
        <v/>
      </c>
      <c r="D19" s="18" t="str">
        <f ca="1">IFERROR(OFFSET(Assign!$C$106,MATCH($B19,Assign!$F$106:$F$128,0)-1,0),"")</f>
        <v/>
      </c>
    </row>
    <row r="20" spans="2:4">
      <c r="B20" s="2">
        <v>19</v>
      </c>
      <c r="C20" s="2" t="str">
        <f ca="1">IFERROR(OFFSET(Assign!$B$106,MATCH($B20,Assign!$F$106:$F$128,0)-1,0),"")</f>
        <v/>
      </c>
      <c r="D20" s="18" t="str">
        <f ca="1">IFERROR(OFFSET(Assign!$C$106,MATCH($B20,Assign!$F$106:$F$128,0)-1,0),"")</f>
        <v/>
      </c>
    </row>
    <row r="21" spans="2:4">
      <c r="B21" s="2">
        <v>20</v>
      </c>
      <c r="C21" s="2" t="str">
        <f ca="1">IFERROR(OFFSET(Assign!$B$106,MATCH($B21,Assign!$F$106:$F$128,0)-1,0),"")</f>
        <v/>
      </c>
      <c r="D21" s="18" t="str">
        <f ca="1">IFERROR(OFFSET(Assign!$C$106,MATCH($B21,Assign!$F$106:$F$128,0)-1,0),"")</f>
        <v/>
      </c>
    </row>
    <row r="22" spans="2:4">
      <c r="B22" s="2">
        <v>21</v>
      </c>
      <c r="C22" s="2" t="str">
        <f ca="1">IFERROR(OFFSET(Assign!$B$106,MATCH($B22,Assign!$F$106:$F$128,0)-1,0),"")</f>
        <v/>
      </c>
      <c r="D22" s="18" t="str">
        <f ca="1">IFERROR(OFFSET(Assign!$C$106,MATCH($B22,Assign!$F$106:$F$128,0)-1,0),"")</f>
        <v/>
      </c>
    </row>
    <row r="23" spans="2:4">
      <c r="B23" s="2">
        <v>22</v>
      </c>
      <c r="C23" s="2" t="str">
        <f ca="1">IFERROR(OFFSET(Assign!$B$106,MATCH($B23,Assign!$F$106:$F$128,0)-1,0),"")</f>
        <v/>
      </c>
      <c r="D23" s="18" t="str">
        <f ca="1">IFERROR(OFFSET(Assign!$C$106,MATCH($B23,Assign!$F$106:$F$128,0)-1,0),"")</f>
        <v/>
      </c>
    </row>
    <row r="24" spans="2:4">
      <c r="B24" s="2">
        <v>23</v>
      </c>
      <c r="C24" s="2" t="str">
        <f ca="1">IFERROR(OFFSET(Assign!$B$106,MATCH($B24,Assign!$F$106:$F$128,0)-1,0),"")</f>
        <v/>
      </c>
      <c r="D24" s="18" t="str">
        <f ca="1">IFERROR(OFFSET(Assign!$C$106,MATCH($B24,Assign!$F$106:$F$128,0)-1,0),"")</f>
        <v/>
      </c>
    </row>
    <row r="25" spans="2:4">
      <c r="B25" s="2">
        <v>24</v>
      </c>
      <c r="C25" s="2" t="str">
        <f ca="1">IFERROR(OFFSET(Assign!$B$106,MATCH($B25,Assign!$F$106:$F$128,0)-1,0),"")</f>
        <v/>
      </c>
      <c r="D25" s="18" t="str">
        <f ca="1">IFERROR(OFFSET(Assign!$C$106,MATCH($B25,Assign!$F$106:$F$128,0)-1,0),"")</f>
        <v/>
      </c>
    </row>
    <row r="26" spans="2:4">
      <c r="B26" s="2">
        <v>25</v>
      </c>
      <c r="C26" s="2" t="str">
        <f ca="1">IFERROR(OFFSET(Assign!$B$106,MATCH($B26,Assign!$F$106:$F$128,0)-1,0),"")</f>
        <v/>
      </c>
      <c r="D26" s="18" t="str">
        <f ca="1">IFERROR(OFFSET(Assign!$C$106,MATCH($B26,Assign!$F$106:$F$128,0)-1,0),"")</f>
        <v/>
      </c>
    </row>
    <row r="27" spans="2:4">
      <c r="B27" s="2">
        <v>26</v>
      </c>
      <c r="C27" s="2" t="str">
        <f ca="1">IFERROR(OFFSET(Assign!$B$106,MATCH($B27,Assign!$F$106:$F$128,0)-1,0),"")</f>
        <v/>
      </c>
      <c r="D27" s="18" t="str">
        <f ca="1">IFERROR(OFFSET(Assign!$C$106,MATCH($B27,Assign!$F$106:$F$128,0)-1,0),"")</f>
        <v/>
      </c>
    </row>
    <row r="28" spans="2:4">
      <c r="B28" s="2">
        <v>27</v>
      </c>
      <c r="C28" s="2" t="str">
        <f ca="1">IFERROR(OFFSET(Assign!$B$106,MATCH($B28,Assign!$F$106:$F$128,0)-1,0),"")</f>
        <v/>
      </c>
      <c r="D28" s="18" t="str">
        <f ca="1">IFERROR(OFFSET(Assign!$C$106,MATCH($B28,Assign!$F$106:$F$128,0)-1,0),"")</f>
        <v/>
      </c>
    </row>
    <row r="29" spans="2:4">
      <c r="B29" s="2">
        <v>28</v>
      </c>
      <c r="C29" s="2" t="str">
        <f ca="1">IFERROR(OFFSET(Assign!$B$106,MATCH($B29,Assign!$F$106:$F$128,0)-1,0),"")</f>
        <v/>
      </c>
      <c r="D29" s="18" t="str">
        <f ca="1">IFERROR(OFFSET(Assign!$C$106,MATCH($B29,Assign!$F$106:$F$128,0)-1,0),"")</f>
        <v/>
      </c>
    </row>
    <row r="30" spans="2:4">
      <c r="B30" s="2">
        <v>29</v>
      </c>
      <c r="C30" s="2" t="str">
        <f ca="1">IFERROR(OFFSET(Assign!$B$106,MATCH($B30,Assign!$F$106:$F$128,0)-1,0),"")</f>
        <v/>
      </c>
      <c r="D30" s="18" t="str">
        <f ca="1">IFERROR(OFFSET(Assign!$C$106,MATCH($B30,Assign!$F$106:$F$128,0)-1,0),"")</f>
        <v/>
      </c>
    </row>
    <row r="31" spans="2:4">
      <c r="B31" s="2">
        <v>30</v>
      </c>
      <c r="C31" s="2" t="str">
        <f ca="1">IFERROR(OFFSET(Assign!$B$106,MATCH($B31,Assign!$F$106:$F$128,0)-1,0),"")</f>
        <v/>
      </c>
      <c r="D31" s="18" t="str">
        <f ca="1">IFERROR(OFFSET(Assign!$C$106,MATCH($B31,Assign!$F$106:$F$128,0)-1,0),"")</f>
        <v/>
      </c>
    </row>
    <row r="32" spans="2:4">
      <c r="B32" s="2">
        <v>31</v>
      </c>
      <c r="C32" s="2" t="str">
        <f ca="1">IFERROR(OFFSET(Assign!$B$106,MATCH($B32,Assign!$F$106:$F$128,0)-1,0),"")</f>
        <v/>
      </c>
      <c r="D32" s="18" t="str">
        <f ca="1">IFERROR(OFFSET(Assign!$C$106,MATCH($B32,Assign!$F$106:$F$128,0)-1,0),"")</f>
        <v/>
      </c>
    </row>
    <row r="33" spans="2:4">
      <c r="B33" s="2">
        <v>32</v>
      </c>
      <c r="C33" s="2" t="str">
        <f ca="1">IFERROR(OFFSET(Assign!$B$106,MATCH($B33,Assign!$F$106:$F$128,0)-1,0),"")</f>
        <v/>
      </c>
      <c r="D33" s="18" t="str">
        <f ca="1">IFERROR(OFFSET(Assign!$C$106,MATCH($B33,Assign!$F$106:$F$128,0)-1,0),"")</f>
        <v/>
      </c>
    </row>
    <row r="34" spans="2:4">
      <c r="B34" s="2">
        <v>33</v>
      </c>
      <c r="C34" s="2" t="str">
        <f ca="1">IFERROR(OFFSET(Assign!$B$106,MATCH($B34,Assign!$F$106:$F$128,0)-1,0),"")</f>
        <v/>
      </c>
      <c r="D34" s="18" t="str">
        <f ca="1">IFERROR(OFFSET(Assign!$C$106,MATCH($B34,Assign!$F$106:$F$128,0)-1,0),"")</f>
        <v/>
      </c>
    </row>
    <row r="35" spans="2:4">
      <c r="B35" s="2">
        <v>34</v>
      </c>
      <c r="C35" s="2" t="str">
        <f ca="1">IFERROR(OFFSET(Assign!$B$106,MATCH($B35,Assign!$F$106:$F$128,0)-1,0),"")</f>
        <v/>
      </c>
      <c r="D35" s="18" t="str">
        <f ca="1">IFERROR(OFFSET(Assign!$C$106,MATCH($B35,Assign!$F$106:$F$128,0)-1,0),"")</f>
        <v/>
      </c>
    </row>
    <row r="36" spans="2:4">
      <c r="B36" s="2">
        <v>35</v>
      </c>
      <c r="C36" s="2" t="str">
        <f ca="1">IFERROR(OFFSET(Assign!$B$106,MATCH($B36,Assign!$F$106:$F$128,0)-1,0),"")</f>
        <v/>
      </c>
      <c r="D36" s="18" t="str">
        <f ca="1">IFERROR(OFFSET(Assign!$C$106,MATCH($B36,Assign!$F$106:$F$128,0)-1,0),"")</f>
        <v/>
      </c>
    </row>
    <row r="37" spans="2:4">
      <c r="B37" s="2">
        <v>36</v>
      </c>
      <c r="C37" s="2" t="str">
        <f ca="1">IFERROR(OFFSET(Assign!$B$106,MATCH($B37,Assign!$F$106:$F$128,0)-1,0),"")</f>
        <v/>
      </c>
      <c r="D37" s="18" t="str">
        <f ca="1">IFERROR(OFFSET(Assign!$C$106,MATCH($B37,Assign!$F$106:$F$128,0)-1,0),"")</f>
        <v/>
      </c>
    </row>
    <row r="38" spans="2:4">
      <c r="B38" s="2">
        <v>37</v>
      </c>
      <c r="C38" s="2" t="str">
        <f ca="1">IFERROR(OFFSET(Assign!$B$106,MATCH($B38,Assign!$F$106:$F$128,0)-1,0),"")</f>
        <v/>
      </c>
      <c r="D38" s="18" t="str">
        <f ca="1">IFERROR(OFFSET(Assign!$C$106,MATCH($B38,Assign!$F$106:$F$128,0)-1,0),"")</f>
        <v/>
      </c>
    </row>
    <row r="39" spans="2:4">
      <c r="B39" s="2">
        <v>38</v>
      </c>
      <c r="C39" s="2" t="str">
        <f ca="1">IFERROR(OFFSET(Assign!$B$106,MATCH($B39,Assign!$F$106:$F$128,0)-1,0),"")</f>
        <v/>
      </c>
      <c r="D39" s="18" t="str">
        <f ca="1">IFERROR(OFFSET(Assign!$C$106,MATCH($B39,Assign!$F$106:$F$128,0)-1,0),"")</f>
        <v/>
      </c>
    </row>
    <row r="40" spans="2:4">
      <c r="B40" s="2">
        <v>39</v>
      </c>
      <c r="C40" s="2" t="str">
        <f ca="1">IFERROR(OFFSET(Assign!$B$106,MATCH($B40,Assign!$F$106:$F$128,0)-1,0),"")</f>
        <v/>
      </c>
      <c r="D40" s="18" t="str">
        <f ca="1">IFERROR(OFFSET(Assign!$C$106,MATCH($B40,Assign!$F$106:$F$128,0)-1,0),"")</f>
        <v/>
      </c>
    </row>
    <row r="41" spans="2:4">
      <c r="B41" s="2">
        <v>40</v>
      </c>
      <c r="C41" s="2" t="str">
        <f ca="1">IFERROR(OFFSET(Assign!$B$106,MATCH($B41,Assign!$F$106:$F$128,0)-1,0),"")</f>
        <v/>
      </c>
      <c r="D41" s="18" t="str">
        <f ca="1">IFERROR(OFFSET(Assign!$C$106,MATCH($B41,Assign!$F$106:$F$128,0)-1,0),"")</f>
        <v/>
      </c>
    </row>
    <row r="42" spans="2:4">
      <c r="B42" s="2">
        <v>41</v>
      </c>
      <c r="C42" s="2" t="str">
        <f ca="1">IFERROR(OFFSET(Assign!$B$106,MATCH($B42,Assign!$F$106:$F$128,0)-1,0),"")</f>
        <v/>
      </c>
      <c r="D42" s="18" t="str">
        <f ca="1">IFERROR(OFFSET(Assign!$C$106,MATCH($B42,Assign!$F$106:$F$128,0)-1,0),"")</f>
        <v/>
      </c>
    </row>
    <row r="43" spans="2:4">
      <c r="B43" s="2">
        <v>42</v>
      </c>
      <c r="C43" s="2" t="str">
        <f ca="1">IFERROR(OFFSET(Assign!$B$106,MATCH($B43,Assign!$F$106:$F$128,0)-1,0),"")</f>
        <v/>
      </c>
      <c r="D43" s="18" t="str">
        <f ca="1">IFERROR(OFFSET(Assign!$C$106,MATCH($B43,Assign!$F$106:$F$128,0)-1,0),"")</f>
        <v/>
      </c>
    </row>
    <row r="44" spans="2:4">
      <c r="B44" s="2">
        <v>43</v>
      </c>
      <c r="C44" s="2" t="str">
        <f ca="1">IFERROR(OFFSET(Assign!$B$106,MATCH($B44,Assign!$F$106:$F$128,0)-1,0),"")</f>
        <v/>
      </c>
      <c r="D44" s="18" t="str">
        <f ca="1">IFERROR(OFFSET(Assign!$C$106,MATCH($B44,Assign!$F$106:$F$128,0)-1,0),"")</f>
        <v/>
      </c>
    </row>
    <row r="45" spans="2:4">
      <c r="B45" s="2">
        <v>44</v>
      </c>
      <c r="C45" s="2" t="str">
        <f ca="1">IFERROR(OFFSET(Assign!$B$106,MATCH($B45,Assign!$F$106:$F$128,0)-1,0),"")</f>
        <v/>
      </c>
      <c r="D45" s="18" t="str">
        <f ca="1">IFERROR(OFFSET(Assign!$C$106,MATCH($B45,Assign!$F$106:$F$128,0)-1,0),"")</f>
        <v/>
      </c>
    </row>
    <row r="46" spans="2:4">
      <c r="B46" s="2">
        <v>45</v>
      </c>
      <c r="C46" s="2" t="str">
        <f ca="1">IFERROR(OFFSET(Assign!$B$106,MATCH($B46,Assign!$F$106:$F$128,0)-1,0),"")</f>
        <v/>
      </c>
      <c r="D46" s="18" t="str">
        <f ca="1">IFERROR(OFFSET(Assign!$C$106,MATCH($B46,Assign!$F$106:$F$128,0)-1,0),"")</f>
        <v/>
      </c>
    </row>
    <row r="47" spans="2:4">
      <c r="B47" s="2">
        <v>46</v>
      </c>
      <c r="C47" s="2" t="str">
        <f ca="1">IFERROR(OFFSET(Assign!$B$106,MATCH($B47,Assign!$F$106:$F$128,0)-1,0),"")</f>
        <v/>
      </c>
      <c r="D47" s="18" t="str">
        <f ca="1">IFERROR(OFFSET(Assign!$C$106,MATCH($B47,Assign!$F$106:$F$128,0)-1,0),"")</f>
        <v/>
      </c>
    </row>
    <row r="48" spans="2:4">
      <c r="B48" s="2">
        <v>47</v>
      </c>
      <c r="C48" s="2" t="str">
        <f ca="1">IFERROR(OFFSET(Assign!$B$106,MATCH($B48,Assign!$F$106:$F$128,0)-1,0),"")</f>
        <v/>
      </c>
      <c r="D48" s="18" t="str">
        <f ca="1">IFERROR(OFFSET(Assign!$C$106,MATCH($B48,Assign!$F$106:$F$128,0)-1,0),"")</f>
        <v/>
      </c>
    </row>
    <row r="49" spans="2:4">
      <c r="B49" s="2">
        <v>48</v>
      </c>
      <c r="C49" s="2" t="str">
        <f ca="1">IFERROR(OFFSET(Assign!$B$106,MATCH($B49,Assign!$F$106:$F$128,0)-1,0),"")</f>
        <v/>
      </c>
      <c r="D49" s="18" t="str">
        <f ca="1">IFERROR(OFFSET(Assign!$C$106,MATCH($B49,Assign!$F$106:$F$128,0)-1,0),"")</f>
        <v/>
      </c>
    </row>
    <row r="50" spans="2:4">
      <c r="B50" s="2">
        <v>49</v>
      </c>
      <c r="C50" s="2" t="str">
        <f ca="1">IFERROR(OFFSET(Assign!$B$106,MATCH($B50,Assign!$F$106:$F$128,0)-1,0),"")</f>
        <v/>
      </c>
      <c r="D50" s="18" t="str">
        <f ca="1">IFERROR(OFFSET(Assign!$C$106,MATCH($B50,Assign!$F$106:$F$128,0)-1,0),"")</f>
        <v/>
      </c>
    </row>
    <row r="51" spans="2:4">
      <c r="B51" s="2">
        <v>50</v>
      </c>
      <c r="C51" s="2" t="str">
        <f ca="1">IFERROR(OFFSET(Assign!$B$106,MATCH($B51,Assign!$F$106:$F$128,0)-1,0),"")</f>
        <v/>
      </c>
      <c r="D51" s="18" t="str">
        <f ca="1">IFERROR(OFFSET(Assign!$C$106,MATCH($B51,Assign!$F$106:$F$128,0)-1,0),"")</f>
        <v/>
      </c>
    </row>
    <row r="52" spans="2:4">
      <c r="B52" s="2">
        <v>51</v>
      </c>
      <c r="C52" s="2" t="str">
        <f ca="1">IFERROR(OFFSET(Assign!$B$106,MATCH($B52,Assign!$F$106:$F$128,0)-1,0),"")</f>
        <v/>
      </c>
      <c r="D52" s="18" t="str">
        <f ca="1">IFERROR(OFFSET(Assign!$C$106,MATCH($B52,Assign!$F$106:$F$128,0)-1,0),"")</f>
        <v/>
      </c>
    </row>
    <row r="53" spans="2:4">
      <c r="B53" s="2">
        <v>52</v>
      </c>
      <c r="C53" s="2" t="str">
        <f ca="1">IFERROR(OFFSET(Assign!$B$106,MATCH($B53,Assign!$F$106:$F$128,0)-1,0),"")</f>
        <v/>
      </c>
      <c r="D53" s="18" t="str">
        <f ca="1">IFERROR(OFFSET(Assign!$C$106,MATCH($B53,Assign!$F$106:$F$128,0)-1,0),"")</f>
        <v/>
      </c>
    </row>
    <row r="54" spans="2:4">
      <c r="B54" s="2">
        <v>53</v>
      </c>
      <c r="C54" s="2" t="str">
        <f ca="1">IFERROR(OFFSET(Assign!$B$106,MATCH($B54,Assign!$F$106:$F$128,0)-1,0),"")</f>
        <v/>
      </c>
      <c r="D54" s="18" t="str">
        <f ca="1">IFERROR(OFFSET(Assign!$C$106,MATCH($B54,Assign!$F$106:$F$128,0)-1,0),"")</f>
        <v/>
      </c>
    </row>
    <row r="55" spans="2:4">
      <c r="B55" s="2">
        <v>54</v>
      </c>
      <c r="C55" s="2" t="str">
        <f ca="1">IFERROR(OFFSET(Assign!$B$106,MATCH($B55,Assign!$F$106:$F$128,0)-1,0),"")</f>
        <v/>
      </c>
      <c r="D55" s="18" t="str">
        <f ca="1">IFERROR(OFFSET(Assign!$C$106,MATCH($B55,Assign!$F$106:$F$128,0)-1,0),"")</f>
        <v/>
      </c>
    </row>
    <row r="56" spans="2:4">
      <c r="B56" s="2">
        <v>55</v>
      </c>
      <c r="C56" s="2" t="str">
        <f ca="1">IFERROR(OFFSET(Assign!$B$106,MATCH($B56,Assign!$F$106:$F$128,0)-1,0),"")</f>
        <v/>
      </c>
      <c r="D56" s="18" t="str">
        <f ca="1">IFERROR(OFFSET(Assign!$C$106,MATCH($B56,Assign!$F$106:$F$128,0)-1,0),"")</f>
        <v/>
      </c>
    </row>
    <row r="57" spans="2:4">
      <c r="B57" s="2">
        <v>56</v>
      </c>
      <c r="C57" s="2" t="str">
        <f ca="1">IFERROR(OFFSET(Assign!$B$106,MATCH($B57,Assign!$F$106:$F$128,0)-1,0),"")</f>
        <v/>
      </c>
      <c r="D57" s="18" t="str">
        <f ca="1">IFERROR(OFFSET(Assign!$C$106,MATCH($B57,Assign!$F$106:$F$128,0)-1,0),"")</f>
        <v/>
      </c>
    </row>
    <row r="58" spans="2:4">
      <c r="B58" s="2">
        <v>57</v>
      </c>
      <c r="C58" s="2" t="str">
        <f ca="1">IFERROR(OFFSET(Assign!$B$106,MATCH($B58,Assign!$F$106:$F$128,0)-1,0),"")</f>
        <v/>
      </c>
      <c r="D58" s="18" t="str">
        <f ca="1">IFERROR(OFFSET(Assign!$C$106,MATCH($B58,Assign!$F$106:$F$128,0)-1,0),"")</f>
        <v/>
      </c>
    </row>
    <row r="59" spans="2:4">
      <c r="B59" s="2">
        <v>58</v>
      </c>
      <c r="C59" s="2" t="str">
        <f ca="1">IFERROR(OFFSET(Assign!$B$106,MATCH($B59,Assign!$F$106:$F$128,0)-1,0),"")</f>
        <v/>
      </c>
      <c r="D59" s="18" t="str">
        <f ca="1">IFERROR(OFFSET(Assign!$C$106,MATCH($B59,Assign!$F$106:$F$128,0)-1,0),"")</f>
        <v/>
      </c>
    </row>
    <row r="60" spans="2:4">
      <c r="B60" s="2">
        <v>59</v>
      </c>
      <c r="C60" s="2" t="str">
        <f ca="1">IFERROR(OFFSET(Assign!$B$106,MATCH($B60,Assign!$F$106:$F$128,0)-1,0),"")</f>
        <v/>
      </c>
      <c r="D60" s="18" t="str">
        <f ca="1">IFERROR(OFFSET(Assign!$C$106,MATCH($B60,Assign!$F$106:$F$128,0)-1,0),"")</f>
        <v/>
      </c>
    </row>
    <row r="61" spans="2:4">
      <c r="B61" s="2">
        <v>60</v>
      </c>
      <c r="C61" s="2" t="str">
        <f ca="1">IFERROR(OFFSET(Assign!$B$106,MATCH($B61,Assign!$F$106:$F$128,0)-1,0),"")</f>
        <v/>
      </c>
      <c r="D61" s="18" t="str">
        <f ca="1">IFERROR(OFFSET(Assign!$C$106,MATCH($B61,Assign!$F$106:$F$128,0)-1,0),"")</f>
        <v/>
      </c>
    </row>
    <row r="62" spans="2:4">
      <c r="B62" s="2">
        <v>61</v>
      </c>
      <c r="C62" s="2" t="str">
        <f ca="1">IFERROR(OFFSET(Assign!$B$106,MATCH($B62,Assign!$F$106:$F$128,0)-1,0),"")</f>
        <v/>
      </c>
      <c r="D62" s="18" t="str">
        <f ca="1">IFERROR(OFFSET(Assign!$C$106,MATCH($B62,Assign!$F$106:$F$128,0)-1,0),"")</f>
        <v/>
      </c>
    </row>
    <row r="63" spans="2:4">
      <c r="B63" s="2">
        <v>62</v>
      </c>
      <c r="C63" s="2" t="str">
        <f ca="1">IFERROR(OFFSET(Assign!$B$106,MATCH($B63,Assign!$F$106:$F$128,0)-1,0),"")</f>
        <v/>
      </c>
      <c r="D63" s="18" t="str">
        <f ca="1">IFERROR(OFFSET(Assign!$C$106,MATCH($B63,Assign!$F$106:$F$128,0)-1,0),"")</f>
        <v/>
      </c>
    </row>
    <row r="64" spans="2:4">
      <c r="B64" s="2">
        <v>63</v>
      </c>
      <c r="C64" s="2" t="str">
        <f ca="1">IFERROR(OFFSET(Assign!$B$106,MATCH($B64,Assign!$F$106:$F$128,0)-1,0),"")</f>
        <v/>
      </c>
      <c r="D64" s="18" t="str">
        <f ca="1">IFERROR(OFFSET(Assign!$C$106,MATCH($B64,Assign!$F$106:$F$128,0)-1,0),"")</f>
        <v/>
      </c>
    </row>
    <row r="65" spans="2:4">
      <c r="B65" s="2">
        <v>64</v>
      </c>
      <c r="C65" s="2" t="str">
        <f ca="1">IFERROR(OFFSET(Assign!$B$106,MATCH($B65,Assign!$F$106:$F$128,0)-1,0),"")</f>
        <v/>
      </c>
      <c r="D65" s="18" t="str">
        <f ca="1">IFERROR(OFFSET(Assign!$C$106,MATCH($B65,Assign!$F$106:$F$128,0)-1,0),"")</f>
        <v/>
      </c>
    </row>
    <row r="66" spans="2:4">
      <c r="B66" s="2">
        <v>65</v>
      </c>
      <c r="C66" s="2" t="str">
        <f ca="1">IFERROR(OFFSET(Assign!$B$106,MATCH($B66,Assign!$F$106:$F$128,0)-1,0),"")</f>
        <v/>
      </c>
      <c r="D66" s="18" t="str">
        <f ca="1">IFERROR(OFFSET(Assign!$C$106,MATCH($B66,Assign!$F$106:$F$128,0)-1,0),"")</f>
        <v/>
      </c>
    </row>
    <row r="67" spans="2:4">
      <c r="B67" s="2">
        <v>66</v>
      </c>
      <c r="C67" s="2" t="str">
        <f ca="1">IFERROR(OFFSET(Assign!$B$106,MATCH($B67,Assign!$F$106:$F$128,0)-1,0),"")</f>
        <v/>
      </c>
      <c r="D67" s="18" t="str">
        <f ca="1">IFERROR(OFFSET(Assign!$C$106,MATCH($B67,Assign!$F$106:$F$128,0)-1,0),"")</f>
        <v/>
      </c>
    </row>
    <row r="68" spans="2:4">
      <c r="B68" s="2">
        <v>67</v>
      </c>
      <c r="C68" s="2" t="str">
        <f ca="1">IFERROR(OFFSET(Assign!$B$106,MATCH($B68,Assign!$F$106:$F$128,0)-1,0),"")</f>
        <v/>
      </c>
      <c r="D68" s="18" t="str">
        <f ca="1">IFERROR(OFFSET(Assign!$C$106,MATCH($B68,Assign!$F$106:$F$128,0)-1,0),"")</f>
        <v/>
      </c>
    </row>
    <row r="69" spans="2:4">
      <c r="B69" s="2">
        <v>68</v>
      </c>
      <c r="C69" s="2" t="str">
        <f ca="1">IFERROR(OFFSET(Assign!$B$106,MATCH($B69,Assign!$F$106:$F$128,0)-1,0),"")</f>
        <v/>
      </c>
      <c r="D69" s="18" t="str">
        <f ca="1">IFERROR(OFFSET(Assign!$C$106,MATCH($B69,Assign!$F$106:$F$128,0)-1,0),"")</f>
        <v/>
      </c>
    </row>
    <row r="70" spans="2:4">
      <c r="B70" s="2">
        <v>69</v>
      </c>
      <c r="C70" s="2" t="str">
        <f ca="1">IFERROR(OFFSET(Assign!$B$106,MATCH($B70,Assign!$F$106:$F$128,0)-1,0),"")</f>
        <v/>
      </c>
      <c r="D70" s="18" t="str">
        <f ca="1">IFERROR(OFFSET(Assign!$C$106,MATCH($B70,Assign!$F$106:$F$128,0)-1,0),"")</f>
        <v/>
      </c>
    </row>
    <row r="71" spans="2:4">
      <c r="B71" s="2">
        <v>70</v>
      </c>
      <c r="C71" s="2" t="str">
        <f ca="1">IFERROR(OFFSET(Assign!$B$106,MATCH($B71,Assign!$F$106:$F$128,0)-1,0),"")</f>
        <v/>
      </c>
      <c r="D71" s="18" t="str">
        <f ca="1">IFERROR(OFFSET(Assign!$C$106,MATCH($B71,Assign!$F$106:$F$128,0)-1,0),"")</f>
        <v/>
      </c>
    </row>
    <row r="72" spans="2:4">
      <c r="B72" s="2">
        <v>71</v>
      </c>
      <c r="C72" s="2" t="str">
        <f ca="1">IFERROR(OFFSET(Assign!$B$106,MATCH($B72,Assign!$F$106:$F$128,0)-1,0),"")</f>
        <v/>
      </c>
      <c r="D72" s="18" t="str">
        <f ca="1">IFERROR(OFFSET(Assign!$C$106,MATCH($B72,Assign!$F$106:$F$128,0)-1,0),"")</f>
        <v/>
      </c>
    </row>
    <row r="73" spans="2:4">
      <c r="B73" s="2">
        <v>72</v>
      </c>
      <c r="C73" s="2" t="str">
        <f ca="1">IFERROR(OFFSET(Assign!$B$106,MATCH($B73,Assign!$F$106:$F$128,0)-1,0),"")</f>
        <v/>
      </c>
      <c r="D73" s="18" t="str">
        <f ca="1">IFERROR(OFFSET(Assign!$C$106,MATCH($B73,Assign!$F$106:$F$128,0)-1,0),"")</f>
        <v/>
      </c>
    </row>
    <row r="74" spans="2:4">
      <c r="B74" s="2">
        <v>73</v>
      </c>
      <c r="C74" s="2" t="str">
        <f ca="1">IFERROR(OFFSET(Assign!$B$106,MATCH($B74,Assign!$F$106:$F$128,0)-1,0),"")</f>
        <v/>
      </c>
      <c r="D74" s="18" t="str">
        <f ca="1">IFERROR(OFFSET(Assign!$C$106,MATCH($B74,Assign!$F$106:$F$128,0)-1,0),"")</f>
        <v/>
      </c>
    </row>
    <row r="75" spans="2:4">
      <c r="B75" s="2">
        <v>74</v>
      </c>
      <c r="C75" s="2" t="str">
        <f ca="1">IFERROR(OFFSET(Assign!$B$106,MATCH($B75,Assign!$F$106:$F$128,0)-1,0),"")</f>
        <v/>
      </c>
      <c r="D75" s="18" t="str">
        <f ca="1">IFERROR(OFFSET(Assign!$C$106,MATCH($B75,Assign!$F$106:$F$128,0)-1,0),"")</f>
        <v/>
      </c>
    </row>
    <row r="76" spans="2:4">
      <c r="B76" s="2">
        <v>75</v>
      </c>
      <c r="C76" s="2" t="str">
        <f ca="1">IFERROR(OFFSET(Assign!$B$106,MATCH($B76,Assign!$F$106:$F$128,0)-1,0),"")</f>
        <v/>
      </c>
      <c r="D76" s="18" t="str">
        <f ca="1">IFERROR(OFFSET(Assign!$C$106,MATCH($B76,Assign!$F$106:$F$128,0)-1,0),"")</f>
        <v/>
      </c>
    </row>
    <row r="77" spans="2:4">
      <c r="B77" s="2">
        <v>76</v>
      </c>
      <c r="C77" s="2" t="str">
        <f ca="1">IFERROR(OFFSET(Assign!$B$106,MATCH($B77,Assign!$F$106:$F$128,0)-1,0),"")</f>
        <v/>
      </c>
      <c r="D77" s="18" t="str">
        <f ca="1">IFERROR(OFFSET(Assign!$C$106,MATCH($B77,Assign!$F$106:$F$128,0)-1,0),"")</f>
        <v/>
      </c>
    </row>
    <row r="78" spans="2:4">
      <c r="B78" s="2">
        <v>77</v>
      </c>
      <c r="C78" s="2" t="str">
        <f ca="1">IFERROR(OFFSET(Assign!$B$106,MATCH($B78,Assign!$F$106:$F$128,0)-1,0),"")</f>
        <v/>
      </c>
      <c r="D78" s="18" t="str">
        <f ca="1">IFERROR(OFFSET(Assign!$C$106,MATCH($B78,Assign!$F$106:$F$128,0)-1,0),"")</f>
        <v/>
      </c>
    </row>
    <row r="79" spans="2:4">
      <c r="B79" s="2">
        <v>78</v>
      </c>
      <c r="C79" s="2" t="str">
        <f ca="1">IFERROR(OFFSET(Assign!$B$106,MATCH($B79,Assign!$F$106:$F$128,0)-1,0),"")</f>
        <v/>
      </c>
      <c r="D79" s="18" t="str">
        <f ca="1">IFERROR(OFFSET(Assign!$C$106,MATCH($B79,Assign!$F$106:$F$128,0)-1,0),"")</f>
        <v/>
      </c>
    </row>
    <row r="80" spans="2:4">
      <c r="B80" s="2">
        <v>79</v>
      </c>
      <c r="C80" s="2" t="str">
        <f ca="1">IFERROR(OFFSET(Assign!$B$106,MATCH($B80,Assign!$F$106:$F$128,0)-1,0),"")</f>
        <v/>
      </c>
      <c r="D80" s="18" t="str">
        <f ca="1">IFERROR(OFFSET(Assign!$C$106,MATCH($B80,Assign!$F$106:$F$128,0)-1,0),"")</f>
        <v/>
      </c>
    </row>
    <row r="81" spans="2:4">
      <c r="B81" s="2">
        <v>80</v>
      </c>
      <c r="C81" s="2" t="str">
        <f ca="1">IFERROR(OFFSET(Assign!$B$106,MATCH($B81,Assign!$F$106:$F$128,0)-1,0),"")</f>
        <v/>
      </c>
      <c r="D81" s="18" t="str">
        <f ca="1">IFERROR(OFFSET(Assign!$C$106,MATCH($B81,Assign!$F$106:$F$128,0)-1,0),"")</f>
        <v/>
      </c>
    </row>
    <row r="82" spans="2:4">
      <c r="B82" s="2">
        <v>81</v>
      </c>
      <c r="C82" s="2" t="str">
        <f ca="1">IFERROR(OFFSET(Assign!$B$106,MATCH($B82,Assign!$F$106:$F$128,0)-1,0),"")</f>
        <v/>
      </c>
      <c r="D82" s="18" t="str">
        <f ca="1">IFERROR(OFFSET(Assign!$C$106,MATCH($B82,Assign!$F$106:$F$128,0)-1,0),"")</f>
        <v/>
      </c>
    </row>
    <row r="83" spans="2:4">
      <c r="B83" s="2">
        <v>82</v>
      </c>
      <c r="C83" s="2" t="str">
        <f ca="1">IFERROR(OFFSET(Assign!$B$106,MATCH($B83,Assign!$F$106:$F$128,0)-1,0),"")</f>
        <v/>
      </c>
      <c r="D83" s="18" t="str">
        <f ca="1">IFERROR(OFFSET(Assign!$C$106,MATCH($B83,Assign!$F$106:$F$128,0)-1,0),"")</f>
        <v/>
      </c>
    </row>
    <row r="84" spans="2:4">
      <c r="B84" s="2">
        <v>83</v>
      </c>
      <c r="C84" s="2" t="str">
        <f ca="1">IFERROR(OFFSET(Assign!$B$106,MATCH($B84,Assign!$F$106:$F$128,0)-1,0),"")</f>
        <v/>
      </c>
      <c r="D84" s="18" t="str">
        <f ca="1">IFERROR(OFFSET(Assign!$C$106,MATCH($B84,Assign!$F$106:$F$128,0)-1,0),"")</f>
        <v/>
      </c>
    </row>
    <row r="85" spans="2:4">
      <c r="B85" s="2">
        <v>84</v>
      </c>
      <c r="C85" s="2" t="str">
        <f ca="1">IFERROR(OFFSET(Assign!$B$106,MATCH($B85,Assign!$F$106:$F$128,0)-1,0),"")</f>
        <v/>
      </c>
      <c r="D85" s="18" t="str">
        <f ca="1">IFERROR(OFFSET(Assign!$C$106,MATCH($B85,Assign!$F$106:$F$128,0)-1,0),"")</f>
        <v/>
      </c>
    </row>
    <row r="86" spans="2:4">
      <c r="B86" s="2">
        <v>85</v>
      </c>
      <c r="C86" s="2" t="str">
        <f ca="1">IFERROR(OFFSET(Assign!$B$106,MATCH($B86,Assign!$F$106:$F$128,0)-1,0),"")</f>
        <v/>
      </c>
      <c r="D86" s="18" t="str">
        <f ca="1">IFERROR(OFFSET(Assign!$C$106,MATCH($B86,Assign!$F$106:$F$128,0)-1,0),"")</f>
        <v/>
      </c>
    </row>
    <row r="87" spans="2:4">
      <c r="B87" s="2">
        <v>86</v>
      </c>
      <c r="C87" s="2" t="str">
        <f ca="1">IFERROR(OFFSET(Assign!$B$106,MATCH($B87,Assign!$F$106:$F$128,0)-1,0),"")</f>
        <v/>
      </c>
      <c r="D87" s="18" t="str">
        <f ca="1">IFERROR(OFFSET(Assign!$C$106,MATCH($B87,Assign!$F$106:$F$128,0)-1,0),"")</f>
        <v/>
      </c>
    </row>
    <row r="88" spans="2:4">
      <c r="B88" s="2">
        <v>87</v>
      </c>
      <c r="C88" s="2" t="str">
        <f ca="1">IFERROR(OFFSET(Assign!$B$106,MATCH($B88,Assign!$F$106:$F$128,0)-1,0),"")</f>
        <v/>
      </c>
      <c r="D88" s="18" t="str">
        <f ca="1">IFERROR(OFFSET(Assign!$C$106,MATCH($B88,Assign!$F$106:$F$128,0)-1,0),"")</f>
        <v/>
      </c>
    </row>
    <row r="89" spans="2:4">
      <c r="B89" s="2">
        <v>88</v>
      </c>
      <c r="C89" s="2" t="str">
        <f ca="1">IFERROR(OFFSET(Assign!$B$106,MATCH($B89,Assign!$F$106:$F$128,0)-1,0),"")</f>
        <v/>
      </c>
      <c r="D89" s="18" t="str">
        <f ca="1">IFERROR(OFFSET(Assign!$C$106,MATCH($B89,Assign!$F$106:$F$128,0)-1,0),"")</f>
        <v/>
      </c>
    </row>
    <row r="90" spans="2:4">
      <c r="B90" s="2">
        <v>89</v>
      </c>
      <c r="C90" s="2" t="str">
        <f ca="1">IFERROR(OFFSET(Assign!$B$106,MATCH($B90,Assign!$F$106:$F$128,0)-1,0),"")</f>
        <v/>
      </c>
      <c r="D90" s="18" t="str">
        <f ca="1">IFERROR(OFFSET(Assign!$C$106,MATCH($B90,Assign!$F$106:$F$128,0)-1,0),"")</f>
        <v/>
      </c>
    </row>
    <row r="91" spans="2:4">
      <c r="B91" s="2">
        <v>90</v>
      </c>
      <c r="C91" s="2" t="str">
        <f ca="1">IFERROR(OFFSET(Assign!$B$106,MATCH($B91,Assign!$F$106:$F$128,0)-1,0),"")</f>
        <v/>
      </c>
      <c r="D91" s="18" t="str">
        <f ca="1">IFERROR(OFFSET(Assign!$C$106,MATCH($B91,Assign!$F$106:$F$128,0)-1,0),"")</f>
        <v/>
      </c>
    </row>
    <row r="92" spans="2:4">
      <c r="B92" s="2">
        <v>91</v>
      </c>
      <c r="C92" s="2" t="str">
        <f ca="1">IFERROR(OFFSET(Assign!$B$106,MATCH($B92,Assign!$F$106:$F$128,0)-1,0),"")</f>
        <v/>
      </c>
      <c r="D92" s="18" t="str">
        <f ca="1">IFERROR(OFFSET(Assign!$C$106,MATCH($B92,Assign!$F$106:$F$128,0)-1,0),"")</f>
        <v/>
      </c>
    </row>
    <row r="93" spans="2:4">
      <c r="B93" s="2">
        <v>92</v>
      </c>
      <c r="C93" s="2" t="str">
        <f ca="1">IFERROR(OFFSET(Assign!$B$106,MATCH($B93,Assign!$F$106:$F$128,0)-1,0),"")</f>
        <v/>
      </c>
      <c r="D93" s="18" t="str">
        <f ca="1">IFERROR(OFFSET(Assign!$C$106,MATCH($B93,Assign!$F$106:$F$128,0)-1,0),"")</f>
        <v/>
      </c>
    </row>
    <row r="94" spans="2:4">
      <c r="B94" s="2">
        <v>93</v>
      </c>
      <c r="C94" s="2" t="str">
        <f ca="1">IFERROR(OFFSET(Assign!$B$106,MATCH($B94,Assign!$F$106:$F$128,0)-1,0),"")</f>
        <v/>
      </c>
      <c r="D94" s="18" t="str">
        <f ca="1">IFERROR(OFFSET(Assign!$C$106,MATCH($B94,Assign!$F$106:$F$128,0)-1,0),"")</f>
        <v/>
      </c>
    </row>
    <row r="95" spans="2:4">
      <c r="B95" s="2">
        <v>94</v>
      </c>
      <c r="C95" s="2" t="str">
        <f ca="1">IFERROR(OFFSET(Assign!$B$106,MATCH($B95,Assign!$F$106:$F$128,0)-1,0),"")</f>
        <v/>
      </c>
      <c r="D95" s="18" t="str">
        <f ca="1">IFERROR(OFFSET(Assign!$C$106,MATCH($B95,Assign!$F$106:$F$128,0)-1,0),"")</f>
        <v/>
      </c>
    </row>
    <row r="96" spans="2:4">
      <c r="B96" s="2">
        <v>95</v>
      </c>
      <c r="C96" s="2" t="str">
        <f ca="1">IFERROR(OFFSET(Assign!$B$106,MATCH($B96,Assign!$F$106:$F$128,0)-1,0),"")</f>
        <v/>
      </c>
      <c r="D96" s="18" t="str">
        <f ca="1">IFERROR(OFFSET(Assign!$C$106,MATCH($B96,Assign!$F$106:$F$128,0)-1,0),"")</f>
        <v/>
      </c>
    </row>
    <row r="97" spans="2:4">
      <c r="B97" s="2">
        <v>96</v>
      </c>
      <c r="C97" s="2" t="str">
        <f ca="1">IFERROR(OFFSET(Assign!$B$106,MATCH($B97,Assign!$F$106:$F$128,0)-1,0),"")</f>
        <v/>
      </c>
      <c r="D97" s="18" t="str">
        <f ca="1">IFERROR(OFFSET(Assign!$C$106,MATCH($B97,Assign!$F$106:$F$128,0)-1,0),"")</f>
        <v/>
      </c>
    </row>
    <row r="98" spans="2:4">
      <c r="B98" s="2">
        <v>97</v>
      </c>
      <c r="C98" s="2" t="str">
        <f ca="1">IFERROR(OFFSET(Assign!$B$106,MATCH($B98,Assign!$F$106:$F$128,0)-1,0),"")</f>
        <v/>
      </c>
      <c r="D98" s="18" t="str">
        <f ca="1">IFERROR(OFFSET(Assign!$C$106,MATCH($B98,Assign!$F$106:$F$128,0)-1,0),"")</f>
        <v/>
      </c>
    </row>
    <row r="99" spans="2:4">
      <c r="B99" s="2">
        <v>98</v>
      </c>
      <c r="C99" s="2" t="str">
        <f ca="1">IFERROR(OFFSET(Assign!$B$106,MATCH($B99,Assign!$F$106:$F$128,0)-1,0),"")</f>
        <v/>
      </c>
      <c r="D99" s="18" t="str">
        <f ca="1">IFERROR(OFFSET(Assign!$C$106,MATCH($B99,Assign!$F$106:$F$128,0)-1,0),"")</f>
        <v/>
      </c>
    </row>
    <row r="100" spans="2:4">
      <c r="B100" s="2">
        <v>99</v>
      </c>
      <c r="C100" s="2" t="str">
        <f ca="1">IFERROR(OFFSET(Assign!$B$106,MATCH($B100,Assign!$F$106:$F$128,0)-1,0),"")</f>
        <v/>
      </c>
      <c r="D100" s="18" t="str">
        <f ca="1">IFERROR(OFFSET(Assign!$C$106,MATCH($B100,Assign!$F$106:$F$128,0)-1,0),"")</f>
        <v/>
      </c>
    </row>
    <row r="101" spans="2:4">
      <c r="B101" s="2">
        <v>100</v>
      </c>
      <c r="C101" s="2" t="str">
        <f ca="1">IFERROR(OFFSET(Assign!$B$106,MATCH($B101,Assign!$F$106:$F$128,0)-1,0),"")</f>
        <v/>
      </c>
      <c r="D101" s="18" t="str">
        <f ca="1">IFERROR(OFFSET(Assign!$C$106,MATCH($B101,Assign!$F$106:$F$128,0)-1,0),"")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E29" sqref="E29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9" style="2"/>
    <col min="6" max="6" width="10.25" style="2" customWidth="1"/>
    <col min="7" max="7" width="36" style="2" customWidth="1"/>
    <col min="8" max="16384" width="9" style="2"/>
  </cols>
  <sheetData>
    <row r="1" spans="2:7">
      <c r="B1" s="2" t="s">
        <v>79</v>
      </c>
      <c r="C1" s="2" t="s">
        <v>84</v>
      </c>
      <c r="D1" s="18" t="s">
        <v>25</v>
      </c>
      <c r="E1" s="2" t="s">
        <v>83</v>
      </c>
      <c r="F1" s="2" t="s">
        <v>192</v>
      </c>
      <c r="G1" s="2" t="s">
        <v>82</v>
      </c>
    </row>
    <row r="2" spans="2:7">
      <c r="B2" s="2">
        <v>1</v>
      </c>
      <c r="C2" s="2" t="str">
        <f ca="1">IFERROR(OFFSET(Assign!$B$130,MATCH($B2,Assign!$F$130:$F$140,0)-1,0),"")</f>
        <v/>
      </c>
      <c r="D2" s="18" t="str">
        <f ca="1">IFERROR(OFFSET(Assign!$C$130,MATCH($B2,Assign!$F$130:$F$140,0)-1,0),"")</f>
        <v/>
      </c>
    </row>
    <row r="3" spans="2:7">
      <c r="B3" s="2">
        <v>2</v>
      </c>
      <c r="C3" s="2" t="str">
        <f ca="1">IFERROR(OFFSET(Assign!$B$130,MATCH($B3,Assign!$F$130:$F$140,0)-1,0),"")</f>
        <v/>
      </c>
      <c r="D3" s="18" t="str">
        <f ca="1">IFERROR(OFFSET(Assign!$C$130,MATCH($B3,Assign!$F$130:$F$140,0)-1,0),"")</f>
        <v/>
      </c>
    </row>
    <row r="4" spans="2:7">
      <c r="B4" s="2">
        <v>3</v>
      </c>
      <c r="C4" s="2" t="str">
        <f ca="1">IFERROR(OFFSET(Assign!$B$130,MATCH($B4,Assign!$F$130:$F$140,0)-1,0),"")</f>
        <v/>
      </c>
      <c r="D4" s="18" t="str">
        <f ca="1">IFERROR(OFFSET(Assign!$C$130,MATCH($B4,Assign!$F$130:$F$140,0)-1,0),"")</f>
        <v/>
      </c>
    </row>
    <row r="5" spans="2:7">
      <c r="B5" s="2">
        <v>4</v>
      </c>
      <c r="C5" s="2" t="str">
        <f ca="1">IFERROR(OFFSET(Assign!$B$130,MATCH($B5,Assign!$F$130:$F$140,0)-1,0),"")</f>
        <v/>
      </c>
      <c r="D5" s="18" t="str">
        <f ca="1">IFERROR(OFFSET(Assign!$C$130,MATCH($B5,Assign!$F$130:$F$140,0)-1,0),"")</f>
        <v/>
      </c>
    </row>
    <row r="6" spans="2:7">
      <c r="B6" s="2">
        <v>5</v>
      </c>
      <c r="C6" s="2" t="str">
        <f ca="1">IFERROR(OFFSET(Assign!$B$130,MATCH($B6,Assign!$F$130:$F$140,0)-1,0),"")</f>
        <v/>
      </c>
      <c r="D6" s="18" t="str">
        <f ca="1">IFERROR(OFFSET(Assign!$C$130,MATCH($B6,Assign!$F$130:$F$140,0)-1,0),"")</f>
        <v/>
      </c>
    </row>
    <row r="7" spans="2:7">
      <c r="B7" s="2">
        <v>6</v>
      </c>
      <c r="C7" s="2" t="str">
        <f ca="1">IFERROR(OFFSET(Assign!$B$130,MATCH($B7,Assign!$F$130:$F$140,0)-1,0),"")</f>
        <v/>
      </c>
      <c r="D7" s="18" t="str">
        <f ca="1">IFERROR(OFFSET(Assign!$C$130,MATCH($B7,Assign!$F$130:$F$140,0)-1,0),"")</f>
        <v/>
      </c>
    </row>
    <row r="8" spans="2:7">
      <c r="B8" s="2">
        <v>7</v>
      </c>
      <c r="C8" s="2" t="str">
        <f ca="1">IFERROR(OFFSET(Assign!$B$130,MATCH($B8,Assign!$F$130:$F$140,0)-1,0),"")</f>
        <v/>
      </c>
      <c r="D8" s="18" t="str">
        <f ca="1">IFERROR(OFFSET(Assign!$C$130,MATCH($B8,Assign!$F$130:$F$140,0)-1,0),"")</f>
        <v/>
      </c>
    </row>
    <row r="9" spans="2:7">
      <c r="B9" s="2">
        <v>8</v>
      </c>
      <c r="C9" s="2" t="str">
        <f ca="1">IFERROR(OFFSET(Assign!$B$130,MATCH($B9,Assign!$F$130:$F$140,0)-1,0),"")</f>
        <v/>
      </c>
      <c r="D9" s="18" t="str">
        <f ca="1">IFERROR(OFFSET(Assign!$C$130,MATCH($B9,Assign!$F$130:$F$140,0)-1,0),"")</f>
        <v/>
      </c>
    </row>
    <row r="10" spans="2:7">
      <c r="B10" s="2">
        <v>9</v>
      </c>
      <c r="C10" s="2" t="str">
        <f ca="1">IFERROR(OFFSET(Assign!$B$130,MATCH($B10,Assign!$F$130:$F$140,0)-1,0),"")</f>
        <v/>
      </c>
      <c r="D10" s="18" t="str">
        <f ca="1">IFERROR(OFFSET(Assign!$C$130,MATCH($B10,Assign!$F$130:$F$140,0)-1,0),"")</f>
        <v/>
      </c>
    </row>
    <row r="11" spans="2:7">
      <c r="B11" s="2">
        <v>10</v>
      </c>
      <c r="C11" s="2" t="str">
        <f ca="1">IFERROR(OFFSET(Assign!$B$130,MATCH($B11,Assign!$F$130:$F$140,0)-1,0),"")</f>
        <v/>
      </c>
      <c r="D11" s="18" t="str">
        <f ca="1">IFERROR(OFFSET(Assign!$C$130,MATCH($B11,Assign!$F$130:$F$140,0)-1,0),"")</f>
        <v/>
      </c>
    </row>
    <row r="12" spans="2:7">
      <c r="B12" s="2">
        <v>11</v>
      </c>
      <c r="C12" s="2" t="str">
        <f ca="1">IFERROR(OFFSET(Assign!$B$130,MATCH($B12,Assign!$F$130:$F$140,0)-1,0),"")</f>
        <v/>
      </c>
      <c r="D12" s="18" t="str">
        <f ca="1">IFERROR(OFFSET(Assign!$C$130,MATCH($B12,Assign!$F$130:$F$140,0)-1,0),"")</f>
        <v/>
      </c>
    </row>
    <row r="13" spans="2:7">
      <c r="B13" s="2">
        <v>12</v>
      </c>
      <c r="C13" s="2" t="str">
        <f ca="1">IFERROR(OFFSET(Assign!$B$130,MATCH($B13,Assign!$F$130:$F$140,0)-1,0),"")</f>
        <v/>
      </c>
      <c r="D13" s="18" t="str">
        <f ca="1">IFERROR(OFFSET(Assign!$C$130,MATCH($B13,Assign!$F$130:$F$140,0)-1,0),"")</f>
        <v/>
      </c>
    </row>
    <row r="14" spans="2:7">
      <c r="B14" s="2">
        <v>13</v>
      </c>
      <c r="C14" s="2" t="str">
        <f ca="1">IFERROR(OFFSET(Assign!$B$130,MATCH($B14,Assign!$F$130:$F$140,0)-1,0),"")</f>
        <v/>
      </c>
      <c r="D14" s="18" t="str">
        <f ca="1">IFERROR(OFFSET(Assign!$C$130,MATCH($B14,Assign!$F$130:$F$140,0)-1,0),"")</f>
        <v/>
      </c>
    </row>
    <row r="15" spans="2:7">
      <c r="B15" s="2">
        <v>14</v>
      </c>
      <c r="C15" s="2" t="str">
        <f ca="1">IFERROR(OFFSET(Assign!$B$130,MATCH($B15,Assign!$F$130:$F$140,0)-1,0),"")</f>
        <v/>
      </c>
      <c r="D15" s="18" t="str">
        <f ca="1">IFERROR(OFFSET(Assign!$C$130,MATCH($B15,Assign!$F$130:$F$140,0)-1,0),"")</f>
        <v/>
      </c>
    </row>
    <row r="16" spans="2:7">
      <c r="B16" s="2">
        <v>15</v>
      </c>
      <c r="C16" s="2" t="str">
        <f ca="1">IFERROR(OFFSET(Assign!$B$130,MATCH($B16,Assign!$F$130:$F$140,0)-1,0),"")</f>
        <v/>
      </c>
      <c r="D16" s="18" t="str">
        <f ca="1">IFERROR(OFFSET(Assign!$C$130,MATCH($B16,Assign!$F$130:$F$140,0)-1,0),"")</f>
        <v/>
      </c>
    </row>
    <row r="17" spans="2:4">
      <c r="B17" s="2">
        <v>16</v>
      </c>
      <c r="C17" s="2" t="str">
        <f ca="1">IFERROR(OFFSET(Assign!$B$130,MATCH($B17,Assign!$F$130:$F$140,0)-1,0),"")</f>
        <v/>
      </c>
      <c r="D17" s="18" t="str">
        <f ca="1">IFERROR(OFFSET(Assign!$C$130,MATCH($B17,Assign!$F$130:$F$140,0)-1,0),"")</f>
        <v/>
      </c>
    </row>
    <row r="18" spans="2:4">
      <c r="B18" s="2">
        <v>17</v>
      </c>
      <c r="C18" s="2" t="str">
        <f ca="1">IFERROR(OFFSET(Assign!$B$130,MATCH($B18,Assign!$F$130:$F$140,0)-1,0),"")</f>
        <v/>
      </c>
      <c r="D18" s="18" t="str">
        <f ca="1">IFERROR(OFFSET(Assign!$C$130,MATCH($B18,Assign!$F$130:$F$140,0)-1,0),"")</f>
        <v/>
      </c>
    </row>
    <row r="19" spans="2:4">
      <c r="B19" s="2">
        <v>18</v>
      </c>
      <c r="C19" s="2" t="str">
        <f ca="1">IFERROR(OFFSET(Assign!$B$130,MATCH($B19,Assign!$F$130:$F$140,0)-1,0),"")</f>
        <v/>
      </c>
      <c r="D19" s="18" t="str">
        <f ca="1">IFERROR(OFFSET(Assign!$C$130,MATCH($B19,Assign!$F$130:$F$140,0)-1,0),"")</f>
        <v/>
      </c>
    </row>
    <row r="20" spans="2:4">
      <c r="B20" s="2">
        <v>19</v>
      </c>
      <c r="C20" s="2" t="str">
        <f ca="1">IFERROR(OFFSET(Assign!$B$130,MATCH($B20,Assign!$F$130:$F$140,0)-1,0),"")</f>
        <v/>
      </c>
      <c r="D20" s="18" t="str">
        <f ca="1">IFERROR(OFFSET(Assign!$C$130,MATCH($B20,Assign!$F$130:$F$140,0)-1,0),"")</f>
        <v/>
      </c>
    </row>
    <row r="21" spans="2:4">
      <c r="B21" s="2">
        <v>20</v>
      </c>
      <c r="C21" s="2" t="str">
        <f ca="1">IFERROR(OFFSET(Assign!$B$130,MATCH($B21,Assign!$F$130:$F$140,0)-1,0),"")</f>
        <v/>
      </c>
      <c r="D21" s="18" t="str">
        <f ca="1">IFERROR(OFFSET(Assign!$C$130,MATCH($B21,Assign!$F$130:$F$140,0)-1,0),"")</f>
        <v/>
      </c>
    </row>
    <row r="22" spans="2:4">
      <c r="B22" s="2">
        <v>21</v>
      </c>
      <c r="C22" s="2" t="str">
        <f ca="1">IFERROR(OFFSET(Assign!$B$130,MATCH($B22,Assign!$F$130:$F$140,0)-1,0),"")</f>
        <v/>
      </c>
      <c r="D22" s="18" t="str">
        <f ca="1">IFERROR(OFFSET(Assign!$C$130,MATCH($B22,Assign!$F$130:$F$140,0)-1,0),"")</f>
        <v/>
      </c>
    </row>
    <row r="23" spans="2:4">
      <c r="B23" s="2">
        <v>22</v>
      </c>
      <c r="C23" s="2" t="str">
        <f ca="1">IFERROR(OFFSET(Assign!$B$130,MATCH($B23,Assign!$F$130:$F$140,0)-1,0),"")</f>
        <v/>
      </c>
      <c r="D23" s="18" t="str">
        <f ca="1">IFERROR(OFFSET(Assign!$C$130,MATCH($B23,Assign!$F$130:$F$140,0)-1,0),"")</f>
        <v/>
      </c>
    </row>
    <row r="24" spans="2:4">
      <c r="B24" s="2">
        <v>23</v>
      </c>
      <c r="C24" s="2" t="str">
        <f ca="1">IFERROR(OFFSET(Assign!$B$130,MATCH($B24,Assign!$F$130:$F$140,0)-1,0),"")</f>
        <v/>
      </c>
      <c r="D24" s="18" t="str">
        <f ca="1">IFERROR(OFFSET(Assign!$C$130,MATCH($B24,Assign!$F$130:$F$140,0)-1,0),"")</f>
        <v/>
      </c>
    </row>
    <row r="25" spans="2:4">
      <c r="B25" s="2">
        <v>24</v>
      </c>
      <c r="C25" s="2" t="str">
        <f ca="1">IFERROR(OFFSET(Assign!$B$130,MATCH($B25,Assign!$F$130:$F$140,0)-1,0),"")</f>
        <v/>
      </c>
      <c r="D25" s="18" t="str">
        <f ca="1">IFERROR(OFFSET(Assign!$C$130,MATCH($B25,Assign!$F$130:$F$140,0)-1,0),"")</f>
        <v/>
      </c>
    </row>
    <row r="26" spans="2:4">
      <c r="B26" s="2">
        <v>25</v>
      </c>
      <c r="C26" s="2" t="str">
        <f ca="1">IFERROR(OFFSET(Assign!$B$130,MATCH($B26,Assign!$F$130:$F$140,0)-1,0),"")</f>
        <v/>
      </c>
      <c r="D26" s="18" t="str">
        <f ca="1">IFERROR(OFFSET(Assign!$C$130,MATCH($B26,Assign!$F$130:$F$140,0)-1,0),"")</f>
        <v/>
      </c>
    </row>
    <row r="27" spans="2:4">
      <c r="B27" s="2">
        <v>26</v>
      </c>
      <c r="C27" s="2" t="str">
        <f ca="1">IFERROR(OFFSET(Assign!$B$130,MATCH($B27,Assign!$F$130:$F$140,0)-1,0),"")</f>
        <v/>
      </c>
      <c r="D27" s="18" t="str">
        <f ca="1">IFERROR(OFFSET(Assign!$C$130,MATCH($B27,Assign!$F$130:$F$140,0)-1,0),"")</f>
        <v/>
      </c>
    </row>
    <row r="28" spans="2:4">
      <c r="B28" s="2">
        <v>27</v>
      </c>
      <c r="C28" s="2" t="str">
        <f ca="1">IFERROR(OFFSET(Assign!$B$130,MATCH($B28,Assign!$F$130:$F$140,0)-1,0),"")</f>
        <v/>
      </c>
      <c r="D28" s="18" t="str">
        <f ca="1">IFERROR(OFFSET(Assign!$C$130,MATCH($B28,Assign!$F$130:$F$140,0)-1,0),"")</f>
        <v/>
      </c>
    </row>
    <row r="29" spans="2:4">
      <c r="B29" s="2">
        <v>28</v>
      </c>
      <c r="C29" s="2" t="str">
        <f ca="1">IFERROR(OFFSET(Assign!$B$130,MATCH($B29,Assign!$F$130:$F$140,0)-1,0),"")</f>
        <v/>
      </c>
      <c r="D29" s="18" t="str">
        <f ca="1">IFERROR(OFFSET(Assign!$C$130,MATCH($B29,Assign!$F$130:$F$140,0)-1,0),"")</f>
        <v/>
      </c>
    </row>
    <row r="30" spans="2:4">
      <c r="B30" s="2">
        <v>29</v>
      </c>
      <c r="C30" s="2" t="str">
        <f ca="1">IFERROR(OFFSET(Assign!$B$130,MATCH($B30,Assign!$F$130:$F$140,0)-1,0),"")</f>
        <v/>
      </c>
      <c r="D30" s="18" t="str">
        <f ca="1">IFERROR(OFFSET(Assign!$C$130,MATCH($B30,Assign!$F$130:$F$140,0)-1,0),"")</f>
        <v/>
      </c>
    </row>
    <row r="31" spans="2:4">
      <c r="B31" s="2">
        <v>30</v>
      </c>
      <c r="C31" s="2" t="str">
        <f ca="1">IFERROR(OFFSET(Assign!$B$130,MATCH($B31,Assign!$F$130:$F$140,0)-1,0),"")</f>
        <v/>
      </c>
      <c r="D31" s="18" t="str">
        <f ca="1">IFERROR(OFFSET(Assign!$C$130,MATCH($B31,Assign!$F$130:$F$140,0)-1,0),"")</f>
        <v/>
      </c>
    </row>
    <row r="32" spans="2:4">
      <c r="B32" s="2">
        <v>31</v>
      </c>
      <c r="C32" s="2" t="str">
        <f ca="1">IFERROR(OFFSET(Assign!$B$130,MATCH($B32,Assign!$F$130:$F$140,0)-1,0),"")</f>
        <v/>
      </c>
      <c r="D32" s="18" t="str">
        <f ca="1">IFERROR(OFFSET(Assign!$C$130,MATCH($B32,Assign!$F$130:$F$140,0)-1,0),"")</f>
        <v/>
      </c>
    </row>
    <row r="33" spans="2:4">
      <c r="B33" s="2">
        <v>32</v>
      </c>
      <c r="C33" s="2" t="str">
        <f ca="1">IFERROR(OFFSET(Assign!$B$130,MATCH($B33,Assign!$F$130:$F$140,0)-1,0),"")</f>
        <v/>
      </c>
      <c r="D33" s="18" t="str">
        <f ca="1">IFERROR(OFFSET(Assign!$C$130,MATCH($B33,Assign!$F$130:$F$140,0)-1,0),"")</f>
        <v/>
      </c>
    </row>
    <row r="34" spans="2:4">
      <c r="B34" s="2">
        <v>33</v>
      </c>
      <c r="C34" s="2" t="str">
        <f ca="1">IFERROR(OFFSET(Assign!$B$130,MATCH($B34,Assign!$F$130:$F$140,0)-1,0),"")</f>
        <v/>
      </c>
      <c r="D34" s="18" t="str">
        <f ca="1">IFERROR(OFFSET(Assign!$C$130,MATCH($B34,Assign!$F$130:$F$140,0)-1,0),"")</f>
        <v/>
      </c>
    </row>
    <row r="35" spans="2:4">
      <c r="B35" s="2">
        <v>34</v>
      </c>
      <c r="C35" s="2" t="str">
        <f ca="1">IFERROR(OFFSET(Assign!$B$130,MATCH($B35,Assign!$F$130:$F$140,0)-1,0),"")</f>
        <v/>
      </c>
      <c r="D35" s="18" t="str">
        <f ca="1">IFERROR(OFFSET(Assign!$C$130,MATCH($B35,Assign!$F$130:$F$140,0)-1,0),"")</f>
        <v/>
      </c>
    </row>
    <row r="36" spans="2:4">
      <c r="B36" s="2">
        <v>35</v>
      </c>
      <c r="C36" s="2" t="str">
        <f ca="1">IFERROR(OFFSET(Assign!$B$130,MATCH($B36,Assign!$F$130:$F$140,0)-1,0),"")</f>
        <v/>
      </c>
      <c r="D36" s="18" t="str">
        <f ca="1">IFERROR(OFFSET(Assign!$C$130,MATCH($B36,Assign!$F$130:$F$140,0)-1,0),"")</f>
        <v/>
      </c>
    </row>
    <row r="37" spans="2:4">
      <c r="B37" s="2">
        <v>36</v>
      </c>
      <c r="C37" s="2" t="str">
        <f ca="1">IFERROR(OFFSET(Assign!$B$130,MATCH($B37,Assign!$F$130:$F$140,0)-1,0),"")</f>
        <v/>
      </c>
      <c r="D37" s="18" t="str">
        <f ca="1">IFERROR(OFFSET(Assign!$C$130,MATCH($B37,Assign!$F$130:$F$140,0)-1,0),"")</f>
        <v/>
      </c>
    </row>
    <row r="38" spans="2:4">
      <c r="B38" s="2">
        <v>37</v>
      </c>
      <c r="C38" s="2" t="str">
        <f ca="1">IFERROR(OFFSET(Assign!$B$130,MATCH($B38,Assign!$F$130:$F$140,0)-1,0),"")</f>
        <v/>
      </c>
      <c r="D38" s="18" t="str">
        <f ca="1">IFERROR(OFFSET(Assign!$C$130,MATCH($B38,Assign!$F$130:$F$140,0)-1,0),"")</f>
        <v/>
      </c>
    </row>
    <row r="39" spans="2:4">
      <c r="B39" s="2">
        <v>38</v>
      </c>
      <c r="C39" s="2" t="str">
        <f ca="1">IFERROR(OFFSET(Assign!$B$130,MATCH($B39,Assign!$F$130:$F$140,0)-1,0),"")</f>
        <v/>
      </c>
      <c r="D39" s="18" t="str">
        <f ca="1">IFERROR(OFFSET(Assign!$C$130,MATCH($B39,Assign!$F$130:$F$140,0)-1,0),"")</f>
        <v/>
      </c>
    </row>
    <row r="40" spans="2:4">
      <c r="B40" s="2">
        <v>39</v>
      </c>
      <c r="C40" s="2" t="str">
        <f ca="1">IFERROR(OFFSET(Assign!$B$130,MATCH($B40,Assign!$F$130:$F$140,0)-1,0),"")</f>
        <v/>
      </c>
      <c r="D40" s="18" t="str">
        <f ca="1">IFERROR(OFFSET(Assign!$C$130,MATCH($B40,Assign!$F$130:$F$140,0)-1,0),"")</f>
        <v/>
      </c>
    </row>
    <row r="41" spans="2:4">
      <c r="B41" s="2">
        <v>40</v>
      </c>
      <c r="C41" s="2" t="str">
        <f ca="1">IFERROR(OFFSET(Assign!$B$130,MATCH($B41,Assign!$F$130:$F$140,0)-1,0),"")</f>
        <v/>
      </c>
      <c r="D41" s="18" t="str">
        <f ca="1">IFERROR(OFFSET(Assign!$C$130,MATCH($B41,Assign!$F$130:$F$140,0)-1,0),"")</f>
        <v/>
      </c>
    </row>
    <row r="42" spans="2:4">
      <c r="B42" s="2">
        <v>41</v>
      </c>
      <c r="C42" s="2" t="str">
        <f ca="1">IFERROR(OFFSET(Assign!$B$130,MATCH($B42,Assign!$F$130:$F$140,0)-1,0),"")</f>
        <v/>
      </c>
      <c r="D42" s="18" t="str">
        <f ca="1">IFERROR(OFFSET(Assign!$C$130,MATCH($B42,Assign!$F$130:$F$140,0)-1,0),"")</f>
        <v/>
      </c>
    </row>
    <row r="43" spans="2:4">
      <c r="B43" s="2">
        <v>42</v>
      </c>
      <c r="C43" s="2" t="str">
        <f ca="1">IFERROR(OFFSET(Assign!$B$130,MATCH($B43,Assign!$F$130:$F$140,0)-1,0),"")</f>
        <v/>
      </c>
      <c r="D43" s="18" t="str">
        <f ca="1">IFERROR(OFFSET(Assign!$C$130,MATCH($B43,Assign!$F$130:$F$140,0)-1,0),"")</f>
        <v/>
      </c>
    </row>
    <row r="44" spans="2:4">
      <c r="B44" s="2">
        <v>43</v>
      </c>
      <c r="C44" s="2" t="str">
        <f ca="1">IFERROR(OFFSET(Assign!$B$130,MATCH($B44,Assign!$F$130:$F$140,0)-1,0),"")</f>
        <v/>
      </c>
      <c r="D44" s="18" t="str">
        <f ca="1">IFERROR(OFFSET(Assign!$C$130,MATCH($B44,Assign!$F$130:$F$140,0)-1,0),"")</f>
        <v/>
      </c>
    </row>
    <row r="45" spans="2:4">
      <c r="B45" s="2">
        <v>44</v>
      </c>
      <c r="C45" s="2" t="str">
        <f ca="1">IFERROR(OFFSET(Assign!$B$130,MATCH($B45,Assign!$F$130:$F$140,0)-1,0),"")</f>
        <v/>
      </c>
      <c r="D45" s="18" t="str">
        <f ca="1">IFERROR(OFFSET(Assign!$C$130,MATCH($B45,Assign!$F$130:$F$140,0)-1,0),"")</f>
        <v/>
      </c>
    </row>
    <row r="46" spans="2:4">
      <c r="B46" s="2">
        <v>45</v>
      </c>
      <c r="C46" s="2" t="str">
        <f ca="1">IFERROR(OFFSET(Assign!$B$130,MATCH($B46,Assign!$F$130:$F$140,0)-1,0),"")</f>
        <v/>
      </c>
      <c r="D46" s="18" t="str">
        <f ca="1">IFERROR(OFFSET(Assign!$C$130,MATCH($B46,Assign!$F$130:$F$140,0)-1,0),"")</f>
        <v/>
      </c>
    </row>
    <row r="47" spans="2:4">
      <c r="B47" s="2">
        <v>46</v>
      </c>
      <c r="C47" s="2" t="str">
        <f ca="1">IFERROR(OFFSET(Assign!$B$130,MATCH($B47,Assign!$F$130:$F$140,0)-1,0),"")</f>
        <v/>
      </c>
      <c r="D47" s="18" t="str">
        <f ca="1">IFERROR(OFFSET(Assign!$C$130,MATCH($B47,Assign!$F$130:$F$140,0)-1,0),"")</f>
        <v/>
      </c>
    </row>
    <row r="48" spans="2:4">
      <c r="B48" s="2">
        <v>47</v>
      </c>
      <c r="C48" s="2" t="str">
        <f ca="1">IFERROR(OFFSET(Assign!$B$130,MATCH($B48,Assign!$F$130:$F$140,0)-1,0),"")</f>
        <v/>
      </c>
      <c r="D48" s="18" t="str">
        <f ca="1">IFERROR(OFFSET(Assign!$C$130,MATCH($B48,Assign!$F$130:$F$140,0)-1,0),"")</f>
        <v/>
      </c>
    </row>
    <row r="49" spans="2:4">
      <c r="B49" s="2">
        <v>48</v>
      </c>
      <c r="C49" s="2" t="str">
        <f ca="1">IFERROR(OFFSET(Assign!$B$130,MATCH($B49,Assign!$F$130:$F$140,0)-1,0),"")</f>
        <v/>
      </c>
      <c r="D49" s="18" t="str">
        <f ca="1">IFERROR(OFFSET(Assign!$C$130,MATCH($B49,Assign!$F$130:$F$140,0)-1,0),"")</f>
        <v/>
      </c>
    </row>
    <row r="50" spans="2:4">
      <c r="B50" s="2">
        <v>49</v>
      </c>
      <c r="C50" s="2" t="str">
        <f ca="1">IFERROR(OFFSET(Assign!$B$130,MATCH($B50,Assign!$F$130:$F$140,0)-1,0),"")</f>
        <v/>
      </c>
      <c r="D50" s="18" t="str">
        <f ca="1">IFERROR(OFFSET(Assign!$C$130,MATCH($B50,Assign!$F$130:$F$140,0)-1,0),"")</f>
        <v/>
      </c>
    </row>
    <row r="51" spans="2:4">
      <c r="B51" s="2">
        <v>50</v>
      </c>
      <c r="C51" s="2" t="str">
        <f ca="1">IFERROR(OFFSET(Assign!$B$130,MATCH($B51,Assign!$F$130:$F$140,0)-1,0),"")</f>
        <v/>
      </c>
      <c r="D51" s="18" t="str">
        <f ca="1">IFERROR(OFFSET(Assign!$C$130,MATCH($B51,Assign!$F$130:$F$140,0)-1,0),"")</f>
        <v/>
      </c>
    </row>
    <row r="52" spans="2:4">
      <c r="B52" s="2">
        <v>51</v>
      </c>
      <c r="C52" s="2" t="str">
        <f ca="1">IFERROR(OFFSET(Assign!$B$130,MATCH($B52,Assign!$F$130:$F$140,0)-1,0),"")</f>
        <v/>
      </c>
      <c r="D52" s="18" t="str">
        <f ca="1">IFERROR(OFFSET(Assign!$C$130,MATCH($B52,Assign!$F$130:$F$140,0)-1,0),"")</f>
        <v/>
      </c>
    </row>
    <row r="53" spans="2:4">
      <c r="B53" s="2">
        <v>52</v>
      </c>
      <c r="C53" s="2" t="str">
        <f ca="1">IFERROR(OFFSET(Assign!$B$130,MATCH($B53,Assign!$F$130:$F$140,0)-1,0),"")</f>
        <v/>
      </c>
      <c r="D53" s="18" t="str">
        <f ca="1">IFERROR(OFFSET(Assign!$C$130,MATCH($B53,Assign!$F$130:$F$140,0)-1,0),"")</f>
        <v/>
      </c>
    </row>
    <row r="54" spans="2:4">
      <c r="B54" s="2">
        <v>53</v>
      </c>
      <c r="C54" s="2" t="str">
        <f ca="1">IFERROR(OFFSET(Assign!$B$130,MATCH($B54,Assign!$F$130:$F$140,0)-1,0),"")</f>
        <v/>
      </c>
      <c r="D54" s="18" t="str">
        <f ca="1">IFERROR(OFFSET(Assign!$C$130,MATCH($B54,Assign!$F$130:$F$140,0)-1,0),"")</f>
        <v/>
      </c>
    </row>
    <row r="55" spans="2:4">
      <c r="B55" s="2">
        <v>54</v>
      </c>
      <c r="C55" s="2" t="str">
        <f ca="1">IFERROR(OFFSET(Assign!$B$130,MATCH($B55,Assign!$F$130:$F$140,0)-1,0),"")</f>
        <v/>
      </c>
      <c r="D55" s="18" t="str">
        <f ca="1">IFERROR(OFFSET(Assign!$C$130,MATCH($B55,Assign!$F$130:$F$140,0)-1,0),"")</f>
        <v/>
      </c>
    </row>
    <row r="56" spans="2:4">
      <c r="B56" s="2">
        <v>55</v>
      </c>
      <c r="C56" s="2" t="str">
        <f ca="1">IFERROR(OFFSET(Assign!$B$130,MATCH($B56,Assign!$F$130:$F$140,0)-1,0),"")</f>
        <v/>
      </c>
      <c r="D56" s="18" t="str">
        <f ca="1">IFERROR(OFFSET(Assign!$C$130,MATCH($B56,Assign!$F$130:$F$140,0)-1,0),"")</f>
        <v/>
      </c>
    </row>
    <row r="57" spans="2:4">
      <c r="B57" s="2">
        <v>56</v>
      </c>
      <c r="C57" s="2" t="str">
        <f ca="1">IFERROR(OFFSET(Assign!$B$130,MATCH($B57,Assign!$F$130:$F$140,0)-1,0),"")</f>
        <v/>
      </c>
      <c r="D57" s="18" t="str">
        <f ca="1">IFERROR(OFFSET(Assign!$C$130,MATCH($B57,Assign!$F$130:$F$140,0)-1,0),"")</f>
        <v/>
      </c>
    </row>
    <row r="58" spans="2:4">
      <c r="B58" s="2">
        <v>57</v>
      </c>
      <c r="C58" s="2" t="str">
        <f ca="1">IFERROR(OFFSET(Assign!$B$130,MATCH($B58,Assign!$F$130:$F$140,0)-1,0),"")</f>
        <v/>
      </c>
      <c r="D58" s="18" t="str">
        <f ca="1">IFERROR(OFFSET(Assign!$C$130,MATCH($B58,Assign!$F$130:$F$140,0)-1,0),"")</f>
        <v/>
      </c>
    </row>
    <row r="59" spans="2:4">
      <c r="B59" s="2">
        <v>58</v>
      </c>
      <c r="C59" s="2" t="str">
        <f ca="1">IFERROR(OFFSET(Assign!$B$130,MATCH($B59,Assign!$F$130:$F$140,0)-1,0),"")</f>
        <v/>
      </c>
      <c r="D59" s="18" t="str">
        <f ca="1">IFERROR(OFFSET(Assign!$C$130,MATCH($B59,Assign!$F$130:$F$140,0)-1,0),"")</f>
        <v/>
      </c>
    </row>
    <row r="60" spans="2:4">
      <c r="B60" s="2">
        <v>59</v>
      </c>
      <c r="C60" s="2" t="str">
        <f ca="1">IFERROR(OFFSET(Assign!$B$130,MATCH($B60,Assign!$F$130:$F$140,0)-1,0),"")</f>
        <v/>
      </c>
      <c r="D60" s="18" t="str">
        <f ca="1">IFERROR(OFFSET(Assign!$C$130,MATCH($B60,Assign!$F$130:$F$140,0)-1,0),"")</f>
        <v/>
      </c>
    </row>
    <row r="61" spans="2:4">
      <c r="B61" s="2">
        <v>60</v>
      </c>
      <c r="C61" s="2" t="str">
        <f ca="1">IFERROR(OFFSET(Assign!$B$130,MATCH($B61,Assign!$F$130:$F$140,0)-1,0),"")</f>
        <v/>
      </c>
      <c r="D61" s="18" t="str">
        <f ca="1">IFERROR(OFFSET(Assign!$C$130,MATCH($B61,Assign!$F$130:$F$140,0)-1,0),"")</f>
        <v/>
      </c>
    </row>
    <row r="62" spans="2:4">
      <c r="B62" s="2">
        <v>61</v>
      </c>
      <c r="C62" s="2" t="str">
        <f ca="1">IFERROR(OFFSET(Assign!$B$130,MATCH($B62,Assign!$F$130:$F$140,0)-1,0),"")</f>
        <v/>
      </c>
      <c r="D62" s="18" t="str">
        <f ca="1">IFERROR(OFFSET(Assign!$C$130,MATCH($B62,Assign!$F$130:$F$140,0)-1,0),"")</f>
        <v/>
      </c>
    </row>
    <row r="63" spans="2:4">
      <c r="B63" s="2">
        <v>62</v>
      </c>
      <c r="C63" s="2" t="str">
        <f ca="1">IFERROR(OFFSET(Assign!$B$130,MATCH($B63,Assign!$F$130:$F$140,0)-1,0),"")</f>
        <v/>
      </c>
      <c r="D63" s="18" t="str">
        <f ca="1">IFERROR(OFFSET(Assign!$C$130,MATCH($B63,Assign!$F$130:$F$140,0)-1,0),"")</f>
        <v/>
      </c>
    </row>
    <row r="64" spans="2:4">
      <c r="B64" s="2">
        <v>63</v>
      </c>
      <c r="C64" s="2" t="str">
        <f ca="1">IFERROR(OFFSET(Assign!$B$130,MATCH($B64,Assign!$F$130:$F$140,0)-1,0),"")</f>
        <v/>
      </c>
      <c r="D64" s="18" t="str">
        <f ca="1">IFERROR(OFFSET(Assign!$C$130,MATCH($B64,Assign!$F$130:$F$140,0)-1,0),"")</f>
        <v/>
      </c>
    </row>
    <row r="65" spans="2:4">
      <c r="B65" s="2">
        <v>64</v>
      </c>
      <c r="C65" s="2" t="str">
        <f ca="1">IFERROR(OFFSET(Assign!$B$130,MATCH($B65,Assign!$F$130:$F$140,0)-1,0),"")</f>
        <v/>
      </c>
      <c r="D65" s="18" t="str">
        <f ca="1">IFERROR(OFFSET(Assign!$C$130,MATCH($B65,Assign!$F$130:$F$140,0)-1,0),"")</f>
        <v/>
      </c>
    </row>
    <row r="66" spans="2:4">
      <c r="B66" s="2">
        <v>65</v>
      </c>
      <c r="C66" s="2" t="str">
        <f ca="1">IFERROR(OFFSET(Assign!$B$130,MATCH($B66,Assign!$F$130:$F$140,0)-1,0),"")</f>
        <v/>
      </c>
      <c r="D66" s="18" t="str">
        <f ca="1">IFERROR(OFFSET(Assign!$C$130,MATCH($B66,Assign!$F$130:$F$140,0)-1,0),"")</f>
        <v/>
      </c>
    </row>
    <row r="67" spans="2:4">
      <c r="B67" s="2">
        <v>66</v>
      </c>
      <c r="C67" s="2" t="str">
        <f ca="1">IFERROR(OFFSET(Assign!$B$130,MATCH($B67,Assign!$F$130:$F$140,0)-1,0),"")</f>
        <v/>
      </c>
      <c r="D67" s="18" t="str">
        <f ca="1">IFERROR(OFFSET(Assign!$C$130,MATCH($B67,Assign!$F$130:$F$140,0)-1,0),"")</f>
        <v/>
      </c>
    </row>
    <row r="68" spans="2:4">
      <c r="B68" s="2">
        <v>67</v>
      </c>
      <c r="C68" s="2" t="str">
        <f ca="1">IFERROR(OFFSET(Assign!$B$130,MATCH($B68,Assign!$F$130:$F$140,0)-1,0),"")</f>
        <v/>
      </c>
      <c r="D68" s="18" t="str">
        <f ca="1">IFERROR(OFFSET(Assign!$C$130,MATCH($B68,Assign!$F$130:$F$140,0)-1,0),"")</f>
        <v/>
      </c>
    </row>
    <row r="69" spans="2:4">
      <c r="B69" s="2">
        <v>68</v>
      </c>
      <c r="C69" s="2" t="str">
        <f ca="1">IFERROR(OFFSET(Assign!$B$130,MATCH($B69,Assign!$F$130:$F$140,0)-1,0),"")</f>
        <v/>
      </c>
      <c r="D69" s="18" t="str">
        <f ca="1">IFERROR(OFFSET(Assign!$C$130,MATCH($B69,Assign!$F$130:$F$140,0)-1,0),"")</f>
        <v/>
      </c>
    </row>
    <row r="70" spans="2:4">
      <c r="B70" s="2">
        <v>69</v>
      </c>
      <c r="C70" s="2" t="str">
        <f ca="1">IFERROR(OFFSET(Assign!$B$130,MATCH($B70,Assign!$F$130:$F$140,0)-1,0),"")</f>
        <v/>
      </c>
      <c r="D70" s="18" t="str">
        <f ca="1">IFERROR(OFFSET(Assign!$C$130,MATCH($B70,Assign!$F$130:$F$140,0)-1,0),"")</f>
        <v/>
      </c>
    </row>
    <row r="71" spans="2:4">
      <c r="B71" s="2">
        <v>70</v>
      </c>
      <c r="C71" s="2" t="str">
        <f ca="1">IFERROR(OFFSET(Assign!$B$130,MATCH($B71,Assign!$F$130:$F$140,0)-1,0),"")</f>
        <v/>
      </c>
      <c r="D71" s="18" t="str">
        <f ca="1">IFERROR(OFFSET(Assign!$C$130,MATCH($B71,Assign!$F$130:$F$140,0)-1,0),"")</f>
        <v/>
      </c>
    </row>
    <row r="72" spans="2:4">
      <c r="B72" s="2">
        <v>71</v>
      </c>
      <c r="C72" s="2" t="str">
        <f ca="1">IFERROR(OFFSET(Assign!$B$130,MATCH($B72,Assign!$F$130:$F$140,0)-1,0),"")</f>
        <v/>
      </c>
      <c r="D72" s="18" t="str">
        <f ca="1">IFERROR(OFFSET(Assign!$C$130,MATCH($B72,Assign!$F$130:$F$140,0)-1,0),"")</f>
        <v/>
      </c>
    </row>
    <row r="73" spans="2:4">
      <c r="B73" s="2">
        <v>72</v>
      </c>
      <c r="C73" s="2" t="str">
        <f ca="1">IFERROR(OFFSET(Assign!$B$130,MATCH($B73,Assign!$F$130:$F$140,0)-1,0),"")</f>
        <v/>
      </c>
      <c r="D73" s="18" t="str">
        <f ca="1">IFERROR(OFFSET(Assign!$C$130,MATCH($B73,Assign!$F$130:$F$140,0)-1,0),"")</f>
        <v/>
      </c>
    </row>
    <row r="74" spans="2:4">
      <c r="B74" s="2">
        <v>73</v>
      </c>
      <c r="C74" s="2" t="str">
        <f ca="1">IFERROR(OFFSET(Assign!$B$130,MATCH($B74,Assign!$F$130:$F$140,0)-1,0),"")</f>
        <v/>
      </c>
      <c r="D74" s="18" t="str">
        <f ca="1">IFERROR(OFFSET(Assign!$C$130,MATCH($B74,Assign!$F$130:$F$140,0)-1,0),"")</f>
        <v/>
      </c>
    </row>
    <row r="75" spans="2:4">
      <c r="B75" s="2">
        <v>74</v>
      </c>
      <c r="C75" s="2" t="str">
        <f ca="1">IFERROR(OFFSET(Assign!$B$130,MATCH($B75,Assign!$F$130:$F$140,0)-1,0),"")</f>
        <v/>
      </c>
      <c r="D75" s="18" t="str">
        <f ca="1">IFERROR(OFFSET(Assign!$C$130,MATCH($B75,Assign!$F$130:$F$140,0)-1,0),"")</f>
        <v/>
      </c>
    </row>
    <row r="76" spans="2:4">
      <c r="B76" s="2">
        <v>75</v>
      </c>
      <c r="C76" s="2" t="str">
        <f ca="1">IFERROR(OFFSET(Assign!$B$130,MATCH($B76,Assign!$F$130:$F$140,0)-1,0),"")</f>
        <v/>
      </c>
      <c r="D76" s="18" t="str">
        <f ca="1">IFERROR(OFFSET(Assign!$C$130,MATCH($B76,Assign!$F$130:$F$140,0)-1,0),"")</f>
        <v/>
      </c>
    </row>
    <row r="77" spans="2:4">
      <c r="B77" s="2">
        <v>76</v>
      </c>
      <c r="C77" s="2" t="str">
        <f ca="1">IFERROR(OFFSET(Assign!$B$130,MATCH($B77,Assign!$F$130:$F$140,0)-1,0),"")</f>
        <v/>
      </c>
      <c r="D77" s="18" t="str">
        <f ca="1">IFERROR(OFFSET(Assign!$C$130,MATCH($B77,Assign!$F$130:$F$140,0)-1,0),"")</f>
        <v/>
      </c>
    </row>
    <row r="78" spans="2:4">
      <c r="B78" s="2">
        <v>77</v>
      </c>
      <c r="C78" s="2" t="str">
        <f ca="1">IFERROR(OFFSET(Assign!$B$130,MATCH($B78,Assign!$F$130:$F$140,0)-1,0),"")</f>
        <v/>
      </c>
      <c r="D78" s="18" t="str">
        <f ca="1">IFERROR(OFFSET(Assign!$C$130,MATCH($B78,Assign!$F$130:$F$140,0)-1,0),"")</f>
        <v/>
      </c>
    </row>
    <row r="79" spans="2:4">
      <c r="B79" s="2">
        <v>78</v>
      </c>
      <c r="C79" s="2" t="str">
        <f ca="1">IFERROR(OFFSET(Assign!$B$130,MATCH($B79,Assign!$F$130:$F$140,0)-1,0),"")</f>
        <v/>
      </c>
      <c r="D79" s="18" t="str">
        <f ca="1">IFERROR(OFFSET(Assign!$C$130,MATCH($B79,Assign!$F$130:$F$140,0)-1,0),"")</f>
        <v/>
      </c>
    </row>
    <row r="80" spans="2:4">
      <c r="B80" s="2">
        <v>79</v>
      </c>
      <c r="C80" s="2" t="str">
        <f ca="1">IFERROR(OFFSET(Assign!$B$130,MATCH($B80,Assign!$F$130:$F$140,0)-1,0),"")</f>
        <v/>
      </c>
      <c r="D80" s="18" t="str">
        <f ca="1">IFERROR(OFFSET(Assign!$C$130,MATCH($B80,Assign!$F$130:$F$140,0)-1,0),"")</f>
        <v/>
      </c>
    </row>
    <row r="81" spans="2:4">
      <c r="B81" s="2">
        <v>80</v>
      </c>
      <c r="C81" s="2" t="str">
        <f ca="1">IFERROR(OFFSET(Assign!$B$130,MATCH($B81,Assign!$F$130:$F$140,0)-1,0),"")</f>
        <v/>
      </c>
      <c r="D81" s="18" t="str">
        <f ca="1">IFERROR(OFFSET(Assign!$C$130,MATCH($B81,Assign!$F$130:$F$140,0)-1,0),"")</f>
        <v/>
      </c>
    </row>
    <row r="82" spans="2:4">
      <c r="B82" s="2">
        <v>81</v>
      </c>
      <c r="C82" s="2" t="str">
        <f ca="1">IFERROR(OFFSET(Assign!$B$130,MATCH($B82,Assign!$F$130:$F$140,0)-1,0),"")</f>
        <v/>
      </c>
      <c r="D82" s="18" t="str">
        <f ca="1">IFERROR(OFFSET(Assign!$C$130,MATCH($B82,Assign!$F$130:$F$140,0)-1,0),"")</f>
        <v/>
      </c>
    </row>
    <row r="83" spans="2:4">
      <c r="B83" s="2">
        <v>82</v>
      </c>
      <c r="C83" s="2" t="str">
        <f ca="1">IFERROR(OFFSET(Assign!$B$130,MATCH($B83,Assign!$F$130:$F$140,0)-1,0),"")</f>
        <v/>
      </c>
      <c r="D83" s="18" t="str">
        <f ca="1">IFERROR(OFFSET(Assign!$C$130,MATCH($B83,Assign!$F$130:$F$140,0)-1,0),"")</f>
        <v/>
      </c>
    </row>
    <row r="84" spans="2:4">
      <c r="B84" s="2">
        <v>83</v>
      </c>
      <c r="C84" s="2" t="str">
        <f ca="1">IFERROR(OFFSET(Assign!$B$130,MATCH($B84,Assign!$F$130:$F$140,0)-1,0),"")</f>
        <v/>
      </c>
      <c r="D84" s="18" t="str">
        <f ca="1">IFERROR(OFFSET(Assign!$C$130,MATCH($B84,Assign!$F$130:$F$140,0)-1,0),"")</f>
        <v/>
      </c>
    </row>
    <row r="85" spans="2:4">
      <c r="B85" s="2">
        <v>84</v>
      </c>
      <c r="C85" s="2" t="str">
        <f ca="1">IFERROR(OFFSET(Assign!$B$130,MATCH($B85,Assign!$F$130:$F$140,0)-1,0),"")</f>
        <v/>
      </c>
      <c r="D85" s="18" t="str">
        <f ca="1">IFERROR(OFFSET(Assign!$C$130,MATCH($B85,Assign!$F$130:$F$140,0)-1,0),"")</f>
        <v/>
      </c>
    </row>
    <row r="86" spans="2:4">
      <c r="B86" s="2">
        <v>85</v>
      </c>
      <c r="C86" s="2" t="str">
        <f ca="1">IFERROR(OFFSET(Assign!$B$130,MATCH($B86,Assign!$F$130:$F$140,0)-1,0),"")</f>
        <v/>
      </c>
      <c r="D86" s="18" t="str">
        <f ca="1">IFERROR(OFFSET(Assign!$C$130,MATCH($B86,Assign!$F$130:$F$140,0)-1,0),"")</f>
        <v/>
      </c>
    </row>
    <row r="87" spans="2:4">
      <c r="B87" s="2">
        <v>86</v>
      </c>
      <c r="C87" s="2" t="str">
        <f ca="1">IFERROR(OFFSET(Assign!$B$130,MATCH($B87,Assign!$F$130:$F$140,0)-1,0),"")</f>
        <v/>
      </c>
      <c r="D87" s="18" t="str">
        <f ca="1">IFERROR(OFFSET(Assign!$C$130,MATCH($B87,Assign!$F$130:$F$140,0)-1,0),"")</f>
        <v/>
      </c>
    </row>
    <row r="88" spans="2:4">
      <c r="B88" s="2">
        <v>87</v>
      </c>
      <c r="C88" s="2" t="str">
        <f ca="1">IFERROR(OFFSET(Assign!$B$130,MATCH($B88,Assign!$F$130:$F$140,0)-1,0),"")</f>
        <v/>
      </c>
      <c r="D88" s="18" t="str">
        <f ca="1">IFERROR(OFFSET(Assign!$C$130,MATCH($B88,Assign!$F$130:$F$140,0)-1,0),"")</f>
        <v/>
      </c>
    </row>
    <row r="89" spans="2:4">
      <c r="B89" s="2">
        <v>88</v>
      </c>
      <c r="C89" s="2" t="str">
        <f ca="1">IFERROR(OFFSET(Assign!$B$130,MATCH($B89,Assign!$F$130:$F$140,0)-1,0),"")</f>
        <v/>
      </c>
      <c r="D89" s="18" t="str">
        <f ca="1">IFERROR(OFFSET(Assign!$C$130,MATCH($B89,Assign!$F$130:$F$140,0)-1,0),"")</f>
        <v/>
      </c>
    </row>
    <row r="90" spans="2:4">
      <c r="B90" s="2">
        <v>89</v>
      </c>
      <c r="C90" s="2" t="str">
        <f ca="1">IFERROR(OFFSET(Assign!$B$130,MATCH($B90,Assign!$F$130:$F$140,0)-1,0),"")</f>
        <v/>
      </c>
      <c r="D90" s="18" t="str">
        <f ca="1">IFERROR(OFFSET(Assign!$C$130,MATCH($B90,Assign!$F$130:$F$140,0)-1,0),"")</f>
        <v/>
      </c>
    </row>
    <row r="91" spans="2:4">
      <c r="B91" s="2">
        <v>90</v>
      </c>
      <c r="C91" s="2" t="str">
        <f ca="1">IFERROR(OFFSET(Assign!$B$130,MATCH($B91,Assign!$F$130:$F$140,0)-1,0),"")</f>
        <v/>
      </c>
      <c r="D91" s="18" t="str">
        <f ca="1">IFERROR(OFFSET(Assign!$C$130,MATCH($B91,Assign!$F$130:$F$140,0)-1,0),"")</f>
        <v/>
      </c>
    </row>
    <row r="92" spans="2:4">
      <c r="B92" s="2">
        <v>91</v>
      </c>
      <c r="C92" s="2" t="str">
        <f ca="1">IFERROR(OFFSET(Assign!$B$130,MATCH($B92,Assign!$F$130:$F$140,0)-1,0),"")</f>
        <v/>
      </c>
      <c r="D92" s="18" t="str">
        <f ca="1">IFERROR(OFFSET(Assign!$C$130,MATCH($B92,Assign!$F$130:$F$140,0)-1,0),"")</f>
        <v/>
      </c>
    </row>
    <row r="93" spans="2:4">
      <c r="B93" s="2">
        <v>92</v>
      </c>
      <c r="C93" s="2" t="str">
        <f ca="1">IFERROR(OFFSET(Assign!$B$130,MATCH($B93,Assign!$F$130:$F$140,0)-1,0),"")</f>
        <v/>
      </c>
      <c r="D93" s="18" t="str">
        <f ca="1">IFERROR(OFFSET(Assign!$C$130,MATCH($B93,Assign!$F$130:$F$140,0)-1,0),"")</f>
        <v/>
      </c>
    </row>
    <row r="94" spans="2:4">
      <c r="B94" s="2">
        <v>93</v>
      </c>
      <c r="C94" s="2" t="str">
        <f ca="1">IFERROR(OFFSET(Assign!$B$130,MATCH($B94,Assign!$F$130:$F$140,0)-1,0),"")</f>
        <v/>
      </c>
      <c r="D94" s="18" t="str">
        <f ca="1">IFERROR(OFFSET(Assign!$C$130,MATCH($B94,Assign!$F$130:$F$140,0)-1,0),"")</f>
        <v/>
      </c>
    </row>
    <row r="95" spans="2:4">
      <c r="B95" s="2">
        <v>94</v>
      </c>
      <c r="C95" s="2" t="str">
        <f ca="1">IFERROR(OFFSET(Assign!$B$130,MATCH($B95,Assign!$F$130:$F$140,0)-1,0),"")</f>
        <v/>
      </c>
      <c r="D95" s="18" t="str">
        <f ca="1">IFERROR(OFFSET(Assign!$C$130,MATCH($B95,Assign!$F$130:$F$140,0)-1,0),"")</f>
        <v/>
      </c>
    </row>
    <row r="96" spans="2:4">
      <c r="B96" s="2">
        <v>95</v>
      </c>
      <c r="C96" s="2" t="str">
        <f ca="1">IFERROR(OFFSET(Assign!$B$130,MATCH($B96,Assign!$F$130:$F$140,0)-1,0),"")</f>
        <v/>
      </c>
      <c r="D96" s="18" t="str">
        <f ca="1">IFERROR(OFFSET(Assign!$C$130,MATCH($B96,Assign!$F$130:$F$140,0)-1,0),"")</f>
        <v/>
      </c>
    </row>
    <row r="97" spans="2:4">
      <c r="B97" s="2">
        <v>96</v>
      </c>
      <c r="C97" s="2" t="str">
        <f ca="1">IFERROR(OFFSET(Assign!$B$130,MATCH($B97,Assign!$F$130:$F$140,0)-1,0),"")</f>
        <v/>
      </c>
      <c r="D97" s="18" t="str">
        <f ca="1">IFERROR(OFFSET(Assign!$C$130,MATCH($B97,Assign!$F$130:$F$140,0)-1,0),"")</f>
        <v/>
      </c>
    </row>
    <row r="98" spans="2:4">
      <c r="B98" s="2">
        <v>97</v>
      </c>
      <c r="C98" s="2" t="str">
        <f ca="1">IFERROR(OFFSET(Assign!$B$130,MATCH($B98,Assign!$F$130:$F$140,0)-1,0),"")</f>
        <v/>
      </c>
      <c r="D98" s="18" t="str">
        <f ca="1">IFERROR(OFFSET(Assign!$C$130,MATCH($B98,Assign!$F$130:$F$140,0)-1,0),"")</f>
        <v/>
      </c>
    </row>
    <row r="99" spans="2:4">
      <c r="B99" s="2">
        <v>98</v>
      </c>
      <c r="C99" s="2" t="str">
        <f ca="1">IFERROR(OFFSET(Assign!$B$130,MATCH($B99,Assign!$F$130:$F$140,0)-1,0),"")</f>
        <v/>
      </c>
      <c r="D99" s="18" t="str">
        <f ca="1">IFERROR(OFFSET(Assign!$C$130,MATCH($B99,Assign!$F$130:$F$140,0)-1,0),"")</f>
        <v/>
      </c>
    </row>
    <row r="100" spans="2:4">
      <c r="B100" s="2">
        <v>99</v>
      </c>
      <c r="C100" s="2" t="str">
        <f ca="1">IFERROR(OFFSET(Assign!$B$130,MATCH($B100,Assign!$F$130:$F$140,0)-1,0),"")</f>
        <v/>
      </c>
      <c r="D100" s="18" t="str">
        <f ca="1">IFERROR(OFFSET(Assign!$C$130,MATCH($B100,Assign!$F$130:$F$140,0)-1,0),"")</f>
        <v/>
      </c>
    </row>
    <row r="101" spans="2:4">
      <c r="B101" s="2">
        <v>100</v>
      </c>
      <c r="C101" s="2" t="str">
        <f ca="1">IFERROR(OFFSET(Assign!$B$130,MATCH($B101,Assign!$F$130:$F$140,0)-1,0),"")</f>
        <v/>
      </c>
      <c r="D101" s="18" t="str">
        <f ca="1">IFERROR(OFFSET(Assign!$C$130,MATCH($B101,Assign!$F$130:$F$140,0)-1,0),"")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G9" sqref="G9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9" style="2"/>
    <col min="6" max="6" width="10.25" style="2" customWidth="1"/>
    <col min="7" max="7" width="36" style="2" customWidth="1"/>
    <col min="8" max="16384" width="9" style="2"/>
  </cols>
  <sheetData>
    <row r="1" spans="2:7">
      <c r="B1" s="2" t="s">
        <v>79</v>
      </c>
      <c r="C1" s="2" t="s">
        <v>84</v>
      </c>
      <c r="D1" s="18" t="s">
        <v>25</v>
      </c>
      <c r="E1" s="2" t="s">
        <v>83</v>
      </c>
      <c r="F1" s="2" t="s">
        <v>192</v>
      </c>
      <c r="G1" s="2" t="s">
        <v>82</v>
      </c>
    </row>
    <row r="2" spans="2:7">
      <c r="B2" s="2">
        <v>1</v>
      </c>
      <c r="C2" s="2" t="str">
        <f ca="1">IFERROR(OFFSET(Assign!$B$142,MATCH($B2,Assign!$F$142:$F$158,0)-1,0),"")</f>
        <v/>
      </c>
      <c r="D2" s="18" t="str">
        <f ca="1">IFERROR(OFFSET(Assign!$C$142,MATCH($B2,Assign!$F$142:$F$158,0)-1,0),"")</f>
        <v/>
      </c>
    </row>
    <row r="3" spans="2:7">
      <c r="B3" s="2">
        <v>2</v>
      </c>
      <c r="C3" s="2" t="str">
        <f ca="1">IFERROR(OFFSET(Assign!$B$142,MATCH($B3,Assign!$F$142:$F$158,0)-1,0),"")</f>
        <v/>
      </c>
      <c r="D3" s="18" t="str">
        <f ca="1">IFERROR(OFFSET(Assign!$C$142,MATCH($B3,Assign!$F$142:$F$158,0)-1,0),"")</f>
        <v/>
      </c>
    </row>
    <row r="4" spans="2:7">
      <c r="B4" s="2">
        <v>3</v>
      </c>
      <c r="C4" s="2" t="str">
        <f ca="1">IFERROR(OFFSET(Assign!$B$142,MATCH($B4,Assign!$F$142:$F$158,0)-1,0),"")</f>
        <v/>
      </c>
      <c r="D4" s="18" t="str">
        <f ca="1">IFERROR(OFFSET(Assign!$C$142,MATCH($B4,Assign!$F$142:$F$158,0)-1,0),"")</f>
        <v/>
      </c>
    </row>
    <row r="5" spans="2:7">
      <c r="B5" s="2">
        <v>4</v>
      </c>
      <c r="C5" s="2" t="str">
        <f ca="1">IFERROR(OFFSET(Assign!$B$142,MATCH($B5,Assign!$F$142:$F$158,0)-1,0),"")</f>
        <v/>
      </c>
      <c r="D5" s="18" t="str">
        <f ca="1">IFERROR(OFFSET(Assign!$C$142,MATCH($B5,Assign!$F$142:$F$158,0)-1,0),"")</f>
        <v/>
      </c>
    </row>
    <row r="6" spans="2:7">
      <c r="B6" s="2">
        <v>5</v>
      </c>
      <c r="C6" s="2" t="str">
        <f ca="1">IFERROR(OFFSET(Assign!$B$142,MATCH($B6,Assign!$F$142:$F$158,0)-1,0),"")</f>
        <v/>
      </c>
      <c r="D6" s="18" t="str">
        <f ca="1">IFERROR(OFFSET(Assign!$C$142,MATCH($B6,Assign!$F$142:$F$158,0)-1,0),"")</f>
        <v/>
      </c>
    </row>
    <row r="7" spans="2:7">
      <c r="B7" s="2">
        <v>6</v>
      </c>
      <c r="C7" s="2" t="str">
        <f ca="1">IFERROR(OFFSET(Assign!$B$142,MATCH($B7,Assign!$F$142:$F$158,0)-1,0),"")</f>
        <v/>
      </c>
      <c r="D7" s="18" t="str">
        <f ca="1">IFERROR(OFFSET(Assign!$C$142,MATCH($B7,Assign!$F$142:$F$158,0)-1,0),"")</f>
        <v/>
      </c>
    </row>
    <row r="8" spans="2:7">
      <c r="B8" s="2">
        <v>7</v>
      </c>
      <c r="C8" s="2" t="str">
        <f ca="1">IFERROR(OFFSET(Assign!$B$142,MATCH($B8,Assign!$F$142:$F$158,0)-1,0),"")</f>
        <v/>
      </c>
      <c r="D8" s="18" t="str">
        <f ca="1">IFERROR(OFFSET(Assign!$C$142,MATCH($B8,Assign!$F$142:$F$158,0)-1,0),"")</f>
        <v/>
      </c>
    </row>
    <row r="9" spans="2:7">
      <c r="B9" s="2">
        <v>8</v>
      </c>
      <c r="C9" s="2" t="str">
        <f ca="1">IFERROR(OFFSET(Assign!$B$142,MATCH($B9,Assign!$F$142:$F$158,0)-1,0),"")</f>
        <v/>
      </c>
      <c r="D9" s="18" t="str">
        <f ca="1">IFERROR(OFFSET(Assign!$C$142,MATCH($B9,Assign!$F$142:$F$158,0)-1,0),"")</f>
        <v/>
      </c>
    </row>
    <row r="10" spans="2:7">
      <c r="B10" s="2">
        <v>9</v>
      </c>
      <c r="C10" s="2" t="str">
        <f ca="1">IFERROR(OFFSET(Assign!$B$142,MATCH($B10,Assign!$F$142:$F$158,0)-1,0),"")</f>
        <v/>
      </c>
      <c r="D10" s="18" t="str">
        <f ca="1">IFERROR(OFFSET(Assign!$C$142,MATCH($B10,Assign!$F$142:$F$158,0)-1,0),"")</f>
        <v/>
      </c>
    </row>
    <row r="11" spans="2:7">
      <c r="B11" s="2">
        <v>10</v>
      </c>
      <c r="C11" s="2" t="str">
        <f ca="1">IFERROR(OFFSET(Assign!$B$142,MATCH($B11,Assign!$F$142:$F$158,0)-1,0),"")</f>
        <v/>
      </c>
      <c r="D11" s="18" t="str">
        <f ca="1">IFERROR(OFFSET(Assign!$C$142,MATCH($B11,Assign!$F$142:$F$158,0)-1,0),"")</f>
        <v/>
      </c>
    </row>
    <row r="12" spans="2:7">
      <c r="B12" s="2">
        <v>11</v>
      </c>
      <c r="C12" s="2" t="str">
        <f ca="1">IFERROR(OFFSET(Assign!$B$142,MATCH($B12,Assign!$F$142:$F$158,0)-1,0),"")</f>
        <v/>
      </c>
      <c r="D12" s="18" t="str">
        <f ca="1">IFERROR(OFFSET(Assign!$C$142,MATCH($B12,Assign!$F$142:$F$158,0)-1,0),"")</f>
        <v/>
      </c>
    </row>
    <row r="13" spans="2:7">
      <c r="B13" s="2">
        <v>12</v>
      </c>
      <c r="C13" s="2" t="str">
        <f ca="1">IFERROR(OFFSET(Assign!$B$142,MATCH($B13,Assign!$F$142:$F$158,0)-1,0),"")</f>
        <v/>
      </c>
      <c r="D13" s="18" t="str">
        <f ca="1">IFERROR(OFFSET(Assign!$C$142,MATCH($B13,Assign!$F$142:$F$158,0)-1,0),"")</f>
        <v/>
      </c>
    </row>
    <row r="14" spans="2:7">
      <c r="B14" s="2">
        <v>13</v>
      </c>
      <c r="C14" s="2" t="str">
        <f ca="1">IFERROR(OFFSET(Assign!$B$142,MATCH($B14,Assign!$F$142:$F$158,0)-1,0),"")</f>
        <v/>
      </c>
      <c r="D14" s="18" t="str">
        <f ca="1">IFERROR(OFFSET(Assign!$C$142,MATCH($B14,Assign!$F$142:$F$158,0)-1,0),"")</f>
        <v/>
      </c>
    </row>
    <row r="15" spans="2:7">
      <c r="B15" s="2">
        <v>14</v>
      </c>
      <c r="C15" s="2" t="str">
        <f ca="1">IFERROR(OFFSET(Assign!$B$142,MATCH($B15,Assign!$F$142:$F$158,0)-1,0),"")</f>
        <v/>
      </c>
      <c r="D15" s="18" t="str">
        <f ca="1">IFERROR(OFFSET(Assign!$C$142,MATCH($B15,Assign!$F$142:$F$158,0)-1,0),"")</f>
        <v/>
      </c>
    </row>
    <row r="16" spans="2:7">
      <c r="B16" s="2">
        <v>15</v>
      </c>
      <c r="C16" s="2" t="str">
        <f ca="1">IFERROR(OFFSET(Assign!$B$142,MATCH($B16,Assign!$F$142:$F$158,0)-1,0),"")</f>
        <v/>
      </c>
      <c r="D16" s="18" t="str">
        <f ca="1">IFERROR(OFFSET(Assign!$C$142,MATCH($B16,Assign!$F$142:$F$158,0)-1,0),"")</f>
        <v/>
      </c>
    </row>
    <row r="17" spans="2:4">
      <c r="B17" s="2">
        <v>16</v>
      </c>
      <c r="C17" s="2" t="str">
        <f ca="1">IFERROR(OFFSET(Assign!$B$142,MATCH($B17,Assign!$F$142:$F$158,0)-1,0),"")</f>
        <v/>
      </c>
      <c r="D17" s="18" t="str">
        <f ca="1">IFERROR(OFFSET(Assign!$C$142,MATCH($B17,Assign!$F$142:$F$158,0)-1,0),"")</f>
        <v/>
      </c>
    </row>
    <row r="18" spans="2:4">
      <c r="B18" s="2">
        <v>17</v>
      </c>
      <c r="C18" s="2" t="str">
        <f ca="1">IFERROR(OFFSET(Assign!$B$142,MATCH($B18,Assign!$F$142:$F$158,0)-1,0),"")</f>
        <v/>
      </c>
      <c r="D18" s="18" t="str">
        <f ca="1">IFERROR(OFFSET(Assign!$C$142,MATCH($B18,Assign!$F$142:$F$158,0)-1,0),"")</f>
        <v/>
      </c>
    </row>
    <row r="19" spans="2:4">
      <c r="B19" s="2">
        <v>18</v>
      </c>
      <c r="C19" s="2" t="str">
        <f ca="1">IFERROR(OFFSET(Assign!$B$142,MATCH($B19,Assign!$F$142:$F$158,0)-1,0),"")</f>
        <v/>
      </c>
      <c r="D19" s="18" t="str">
        <f ca="1">IFERROR(OFFSET(Assign!$C$142,MATCH($B19,Assign!$F$142:$F$158,0)-1,0),"")</f>
        <v/>
      </c>
    </row>
    <row r="20" spans="2:4">
      <c r="B20" s="2">
        <v>19</v>
      </c>
      <c r="C20" s="2" t="str">
        <f ca="1">IFERROR(OFFSET(Assign!$B$142,MATCH($B20,Assign!$F$142:$F$158,0)-1,0),"")</f>
        <v/>
      </c>
      <c r="D20" s="18" t="str">
        <f ca="1">IFERROR(OFFSET(Assign!$C$142,MATCH($B20,Assign!$F$142:$F$158,0)-1,0),"")</f>
        <v/>
      </c>
    </row>
    <row r="21" spans="2:4">
      <c r="B21" s="2">
        <v>20</v>
      </c>
      <c r="C21" s="2" t="str">
        <f ca="1">IFERROR(OFFSET(Assign!$B$142,MATCH($B21,Assign!$F$142:$F$158,0)-1,0),"")</f>
        <v/>
      </c>
      <c r="D21" s="18" t="str">
        <f ca="1">IFERROR(OFFSET(Assign!$C$142,MATCH($B21,Assign!$F$142:$F$158,0)-1,0),"")</f>
        <v/>
      </c>
    </row>
    <row r="22" spans="2:4">
      <c r="B22" s="2">
        <v>21</v>
      </c>
      <c r="C22" s="2" t="str">
        <f ca="1">IFERROR(OFFSET(Assign!$B$142,MATCH($B22,Assign!$F$142:$F$158,0)-1,0),"")</f>
        <v/>
      </c>
      <c r="D22" s="18" t="str">
        <f ca="1">IFERROR(OFFSET(Assign!$C$142,MATCH($B22,Assign!$F$142:$F$158,0)-1,0),"")</f>
        <v/>
      </c>
    </row>
    <row r="23" spans="2:4">
      <c r="B23" s="2">
        <v>22</v>
      </c>
      <c r="C23" s="2" t="str">
        <f ca="1">IFERROR(OFFSET(Assign!$B$142,MATCH($B23,Assign!$F$142:$F$158,0)-1,0),"")</f>
        <v/>
      </c>
      <c r="D23" s="18" t="str">
        <f ca="1">IFERROR(OFFSET(Assign!$C$142,MATCH($B23,Assign!$F$142:$F$158,0)-1,0),"")</f>
        <v/>
      </c>
    </row>
    <row r="24" spans="2:4">
      <c r="B24" s="2">
        <v>23</v>
      </c>
      <c r="C24" s="2" t="str">
        <f ca="1">IFERROR(OFFSET(Assign!$B$142,MATCH($B24,Assign!$F$142:$F$158,0)-1,0),"")</f>
        <v/>
      </c>
      <c r="D24" s="18" t="str">
        <f ca="1">IFERROR(OFFSET(Assign!$C$142,MATCH($B24,Assign!$F$142:$F$158,0)-1,0),"")</f>
        <v/>
      </c>
    </row>
    <row r="25" spans="2:4">
      <c r="B25" s="2">
        <v>24</v>
      </c>
      <c r="C25" s="2" t="str">
        <f ca="1">IFERROR(OFFSET(Assign!$B$142,MATCH($B25,Assign!$F$142:$F$158,0)-1,0),"")</f>
        <v/>
      </c>
      <c r="D25" s="18" t="str">
        <f ca="1">IFERROR(OFFSET(Assign!$C$142,MATCH($B25,Assign!$F$142:$F$158,0)-1,0),"")</f>
        <v/>
      </c>
    </row>
    <row r="26" spans="2:4">
      <c r="B26" s="2">
        <v>25</v>
      </c>
      <c r="C26" s="2" t="str">
        <f ca="1">IFERROR(OFFSET(Assign!$B$142,MATCH($B26,Assign!$F$142:$F$158,0)-1,0),"")</f>
        <v/>
      </c>
      <c r="D26" s="18" t="str">
        <f ca="1">IFERROR(OFFSET(Assign!$C$142,MATCH($B26,Assign!$F$142:$F$158,0)-1,0),"")</f>
        <v/>
      </c>
    </row>
    <row r="27" spans="2:4">
      <c r="B27" s="2">
        <v>26</v>
      </c>
      <c r="C27" s="2" t="str">
        <f ca="1">IFERROR(OFFSET(Assign!$B$142,MATCH($B27,Assign!$F$142:$F$158,0)-1,0),"")</f>
        <v/>
      </c>
      <c r="D27" s="18" t="str">
        <f ca="1">IFERROR(OFFSET(Assign!$C$142,MATCH($B27,Assign!$F$142:$F$158,0)-1,0),"")</f>
        <v/>
      </c>
    </row>
    <row r="28" spans="2:4">
      <c r="B28" s="2">
        <v>27</v>
      </c>
      <c r="C28" s="2" t="str">
        <f ca="1">IFERROR(OFFSET(Assign!$B$142,MATCH($B28,Assign!$F$142:$F$158,0)-1,0),"")</f>
        <v/>
      </c>
      <c r="D28" s="18" t="str">
        <f ca="1">IFERROR(OFFSET(Assign!$C$142,MATCH($B28,Assign!$F$142:$F$158,0)-1,0),"")</f>
        <v/>
      </c>
    </row>
    <row r="29" spans="2:4">
      <c r="B29" s="2">
        <v>28</v>
      </c>
      <c r="C29" s="2" t="str">
        <f ca="1">IFERROR(OFFSET(Assign!$B$142,MATCH($B29,Assign!$F$142:$F$158,0)-1,0),"")</f>
        <v/>
      </c>
      <c r="D29" s="18" t="str">
        <f ca="1">IFERROR(OFFSET(Assign!$C$142,MATCH($B29,Assign!$F$142:$F$158,0)-1,0),"")</f>
        <v/>
      </c>
    </row>
    <row r="30" spans="2:4">
      <c r="B30" s="2">
        <v>29</v>
      </c>
      <c r="C30" s="2" t="str">
        <f ca="1">IFERROR(OFFSET(Assign!$B$142,MATCH($B30,Assign!$F$142:$F$158,0)-1,0),"")</f>
        <v/>
      </c>
      <c r="D30" s="18" t="str">
        <f ca="1">IFERROR(OFFSET(Assign!$C$142,MATCH($B30,Assign!$F$142:$F$158,0)-1,0),"")</f>
        <v/>
      </c>
    </row>
    <row r="31" spans="2:4">
      <c r="B31" s="2">
        <v>30</v>
      </c>
      <c r="C31" s="2" t="str">
        <f ca="1">IFERROR(OFFSET(Assign!$B$142,MATCH($B31,Assign!$F$142:$F$158,0)-1,0),"")</f>
        <v/>
      </c>
      <c r="D31" s="18" t="str">
        <f ca="1">IFERROR(OFFSET(Assign!$C$142,MATCH($B31,Assign!$F$142:$F$158,0)-1,0),"")</f>
        <v/>
      </c>
    </row>
    <row r="32" spans="2:4">
      <c r="B32" s="2">
        <v>31</v>
      </c>
      <c r="C32" s="2" t="str">
        <f ca="1">IFERROR(OFFSET(Assign!$B$142,MATCH($B32,Assign!$F$142:$F$158,0)-1,0),"")</f>
        <v/>
      </c>
      <c r="D32" s="18" t="str">
        <f ca="1">IFERROR(OFFSET(Assign!$C$142,MATCH($B32,Assign!$F$142:$F$158,0)-1,0),"")</f>
        <v/>
      </c>
    </row>
    <row r="33" spans="2:4">
      <c r="B33" s="2">
        <v>32</v>
      </c>
      <c r="C33" s="2" t="str">
        <f ca="1">IFERROR(OFFSET(Assign!$B$142,MATCH($B33,Assign!$F$142:$F$158,0)-1,0),"")</f>
        <v/>
      </c>
      <c r="D33" s="18" t="str">
        <f ca="1">IFERROR(OFFSET(Assign!$C$142,MATCH($B33,Assign!$F$142:$F$158,0)-1,0),"")</f>
        <v/>
      </c>
    </row>
    <row r="34" spans="2:4">
      <c r="B34" s="2">
        <v>33</v>
      </c>
      <c r="C34" s="2" t="str">
        <f ca="1">IFERROR(OFFSET(Assign!$B$142,MATCH($B34,Assign!$F$142:$F$158,0)-1,0),"")</f>
        <v/>
      </c>
      <c r="D34" s="18" t="str">
        <f ca="1">IFERROR(OFFSET(Assign!$C$142,MATCH($B34,Assign!$F$142:$F$158,0)-1,0),"")</f>
        <v/>
      </c>
    </row>
    <row r="35" spans="2:4">
      <c r="B35" s="2">
        <v>34</v>
      </c>
      <c r="C35" s="2" t="str">
        <f ca="1">IFERROR(OFFSET(Assign!$B$142,MATCH($B35,Assign!$F$142:$F$158,0)-1,0),"")</f>
        <v/>
      </c>
      <c r="D35" s="18" t="str">
        <f ca="1">IFERROR(OFFSET(Assign!$C$142,MATCH($B35,Assign!$F$142:$F$158,0)-1,0),"")</f>
        <v/>
      </c>
    </row>
    <row r="36" spans="2:4">
      <c r="B36" s="2">
        <v>35</v>
      </c>
      <c r="C36" s="2" t="str">
        <f ca="1">IFERROR(OFFSET(Assign!$B$142,MATCH($B36,Assign!$F$142:$F$158,0)-1,0),"")</f>
        <v/>
      </c>
      <c r="D36" s="18" t="str">
        <f ca="1">IFERROR(OFFSET(Assign!$C$142,MATCH($B36,Assign!$F$142:$F$158,0)-1,0),"")</f>
        <v/>
      </c>
    </row>
    <row r="37" spans="2:4">
      <c r="B37" s="2">
        <v>36</v>
      </c>
      <c r="C37" s="2" t="str">
        <f ca="1">IFERROR(OFFSET(Assign!$B$142,MATCH($B37,Assign!$F$142:$F$158,0)-1,0),"")</f>
        <v/>
      </c>
      <c r="D37" s="18" t="str">
        <f ca="1">IFERROR(OFFSET(Assign!$C$142,MATCH($B37,Assign!$F$142:$F$158,0)-1,0),"")</f>
        <v/>
      </c>
    </row>
    <row r="38" spans="2:4">
      <c r="B38" s="2">
        <v>37</v>
      </c>
      <c r="C38" s="2" t="str">
        <f ca="1">IFERROR(OFFSET(Assign!$B$142,MATCH($B38,Assign!$F$142:$F$158,0)-1,0),"")</f>
        <v/>
      </c>
      <c r="D38" s="18" t="str">
        <f ca="1">IFERROR(OFFSET(Assign!$C$142,MATCH($B38,Assign!$F$142:$F$158,0)-1,0),"")</f>
        <v/>
      </c>
    </row>
    <row r="39" spans="2:4">
      <c r="B39" s="2">
        <v>38</v>
      </c>
      <c r="C39" s="2" t="str">
        <f ca="1">IFERROR(OFFSET(Assign!$B$142,MATCH($B39,Assign!$F$142:$F$158,0)-1,0),"")</f>
        <v/>
      </c>
      <c r="D39" s="18" t="str">
        <f ca="1">IFERROR(OFFSET(Assign!$C$142,MATCH($B39,Assign!$F$142:$F$158,0)-1,0),"")</f>
        <v/>
      </c>
    </row>
    <row r="40" spans="2:4">
      <c r="B40" s="2">
        <v>39</v>
      </c>
      <c r="C40" s="2" t="str">
        <f ca="1">IFERROR(OFFSET(Assign!$B$142,MATCH($B40,Assign!$F$142:$F$158,0)-1,0),"")</f>
        <v/>
      </c>
      <c r="D40" s="18" t="str">
        <f ca="1">IFERROR(OFFSET(Assign!$C$142,MATCH($B40,Assign!$F$142:$F$158,0)-1,0),"")</f>
        <v/>
      </c>
    </row>
    <row r="41" spans="2:4">
      <c r="B41" s="2">
        <v>40</v>
      </c>
      <c r="C41" s="2" t="str">
        <f ca="1">IFERROR(OFFSET(Assign!$B$142,MATCH($B41,Assign!$F$142:$F$158,0)-1,0),"")</f>
        <v/>
      </c>
      <c r="D41" s="18" t="str">
        <f ca="1">IFERROR(OFFSET(Assign!$C$142,MATCH($B41,Assign!$F$142:$F$158,0)-1,0),"")</f>
        <v/>
      </c>
    </row>
    <row r="42" spans="2:4">
      <c r="B42" s="2">
        <v>41</v>
      </c>
      <c r="C42" s="2" t="str">
        <f ca="1">IFERROR(OFFSET(Assign!$B$142,MATCH($B42,Assign!$F$142:$F$158,0)-1,0),"")</f>
        <v/>
      </c>
      <c r="D42" s="18" t="str">
        <f ca="1">IFERROR(OFFSET(Assign!$C$142,MATCH($B42,Assign!$F$142:$F$158,0)-1,0),"")</f>
        <v/>
      </c>
    </row>
    <row r="43" spans="2:4">
      <c r="B43" s="2">
        <v>42</v>
      </c>
      <c r="C43" s="2" t="str">
        <f ca="1">IFERROR(OFFSET(Assign!$B$142,MATCH($B43,Assign!$F$142:$F$158,0)-1,0),"")</f>
        <v/>
      </c>
      <c r="D43" s="18" t="str">
        <f ca="1">IFERROR(OFFSET(Assign!$C$142,MATCH($B43,Assign!$F$142:$F$158,0)-1,0),"")</f>
        <v/>
      </c>
    </row>
    <row r="44" spans="2:4">
      <c r="B44" s="2">
        <v>43</v>
      </c>
      <c r="C44" s="2" t="str">
        <f ca="1">IFERROR(OFFSET(Assign!$B$142,MATCH($B44,Assign!$F$142:$F$158,0)-1,0),"")</f>
        <v/>
      </c>
      <c r="D44" s="18" t="str">
        <f ca="1">IFERROR(OFFSET(Assign!$C$142,MATCH($B44,Assign!$F$142:$F$158,0)-1,0),"")</f>
        <v/>
      </c>
    </row>
    <row r="45" spans="2:4">
      <c r="B45" s="2">
        <v>44</v>
      </c>
      <c r="C45" s="2" t="str">
        <f ca="1">IFERROR(OFFSET(Assign!$B$142,MATCH($B45,Assign!$F$142:$F$158,0)-1,0),"")</f>
        <v/>
      </c>
      <c r="D45" s="18" t="str">
        <f ca="1">IFERROR(OFFSET(Assign!$C$142,MATCH($B45,Assign!$F$142:$F$158,0)-1,0),"")</f>
        <v/>
      </c>
    </row>
    <row r="46" spans="2:4">
      <c r="B46" s="2">
        <v>45</v>
      </c>
      <c r="C46" s="2" t="str">
        <f ca="1">IFERROR(OFFSET(Assign!$B$142,MATCH($B46,Assign!$F$142:$F$158,0)-1,0),"")</f>
        <v/>
      </c>
      <c r="D46" s="18" t="str">
        <f ca="1">IFERROR(OFFSET(Assign!$C$142,MATCH($B46,Assign!$F$142:$F$158,0)-1,0),"")</f>
        <v/>
      </c>
    </row>
    <row r="47" spans="2:4">
      <c r="B47" s="2">
        <v>46</v>
      </c>
      <c r="C47" s="2" t="str">
        <f ca="1">IFERROR(OFFSET(Assign!$B$142,MATCH($B47,Assign!$F$142:$F$158,0)-1,0),"")</f>
        <v/>
      </c>
      <c r="D47" s="18" t="str">
        <f ca="1">IFERROR(OFFSET(Assign!$C$142,MATCH($B47,Assign!$F$142:$F$158,0)-1,0),"")</f>
        <v/>
      </c>
    </row>
    <row r="48" spans="2:4">
      <c r="B48" s="2">
        <v>47</v>
      </c>
      <c r="C48" s="2" t="str">
        <f ca="1">IFERROR(OFFSET(Assign!$B$142,MATCH($B48,Assign!$F$142:$F$158,0)-1,0),"")</f>
        <v/>
      </c>
      <c r="D48" s="18" t="str">
        <f ca="1">IFERROR(OFFSET(Assign!$C$142,MATCH($B48,Assign!$F$142:$F$158,0)-1,0),"")</f>
        <v/>
      </c>
    </row>
    <row r="49" spans="2:4">
      <c r="B49" s="2">
        <v>48</v>
      </c>
      <c r="C49" s="2" t="str">
        <f ca="1">IFERROR(OFFSET(Assign!$B$142,MATCH($B49,Assign!$F$142:$F$158,0)-1,0),"")</f>
        <v/>
      </c>
      <c r="D49" s="18" t="str">
        <f ca="1">IFERROR(OFFSET(Assign!$C$142,MATCH($B49,Assign!$F$142:$F$158,0)-1,0),"")</f>
        <v/>
      </c>
    </row>
    <row r="50" spans="2:4">
      <c r="B50" s="2">
        <v>49</v>
      </c>
      <c r="C50" s="2" t="str">
        <f ca="1">IFERROR(OFFSET(Assign!$B$142,MATCH($B50,Assign!$F$142:$F$158,0)-1,0),"")</f>
        <v/>
      </c>
      <c r="D50" s="18" t="str">
        <f ca="1">IFERROR(OFFSET(Assign!$C$142,MATCH($B50,Assign!$F$142:$F$158,0)-1,0),"")</f>
        <v/>
      </c>
    </row>
    <row r="51" spans="2:4">
      <c r="B51" s="2">
        <v>50</v>
      </c>
      <c r="C51" s="2" t="str">
        <f ca="1">IFERROR(OFFSET(Assign!$B$142,MATCH($B51,Assign!$F$142:$F$158,0)-1,0),"")</f>
        <v/>
      </c>
      <c r="D51" s="18" t="str">
        <f ca="1">IFERROR(OFFSET(Assign!$C$142,MATCH($B51,Assign!$F$142:$F$158,0)-1,0),"")</f>
        <v/>
      </c>
    </row>
    <row r="52" spans="2:4">
      <c r="B52" s="2">
        <v>51</v>
      </c>
      <c r="C52" s="2" t="str">
        <f ca="1">IFERROR(OFFSET(Assign!$B$142,MATCH($B52,Assign!$F$142:$F$158,0)-1,0),"")</f>
        <v/>
      </c>
      <c r="D52" s="18" t="str">
        <f ca="1">IFERROR(OFFSET(Assign!$C$142,MATCH($B52,Assign!$F$142:$F$158,0)-1,0),"")</f>
        <v/>
      </c>
    </row>
    <row r="53" spans="2:4">
      <c r="B53" s="2">
        <v>52</v>
      </c>
      <c r="C53" s="2" t="str">
        <f ca="1">IFERROR(OFFSET(Assign!$B$142,MATCH($B53,Assign!$F$142:$F$158,0)-1,0),"")</f>
        <v/>
      </c>
      <c r="D53" s="18" t="str">
        <f ca="1">IFERROR(OFFSET(Assign!$C$142,MATCH($B53,Assign!$F$142:$F$158,0)-1,0),"")</f>
        <v/>
      </c>
    </row>
    <row r="54" spans="2:4">
      <c r="B54" s="2">
        <v>53</v>
      </c>
      <c r="C54" s="2" t="str">
        <f ca="1">IFERROR(OFFSET(Assign!$B$142,MATCH($B54,Assign!$F$142:$F$158,0)-1,0),"")</f>
        <v/>
      </c>
      <c r="D54" s="18" t="str">
        <f ca="1">IFERROR(OFFSET(Assign!$C$142,MATCH($B54,Assign!$F$142:$F$158,0)-1,0),"")</f>
        <v/>
      </c>
    </row>
    <row r="55" spans="2:4">
      <c r="B55" s="2">
        <v>54</v>
      </c>
      <c r="C55" s="2" t="str">
        <f ca="1">IFERROR(OFFSET(Assign!$B$142,MATCH($B55,Assign!$F$142:$F$158,0)-1,0),"")</f>
        <v/>
      </c>
      <c r="D55" s="18" t="str">
        <f ca="1">IFERROR(OFFSET(Assign!$C$142,MATCH($B55,Assign!$F$142:$F$158,0)-1,0),"")</f>
        <v/>
      </c>
    </row>
    <row r="56" spans="2:4">
      <c r="B56" s="2">
        <v>55</v>
      </c>
      <c r="C56" s="2" t="str">
        <f ca="1">IFERROR(OFFSET(Assign!$B$142,MATCH($B56,Assign!$F$142:$F$158,0)-1,0),"")</f>
        <v/>
      </c>
      <c r="D56" s="18" t="str">
        <f ca="1">IFERROR(OFFSET(Assign!$C$142,MATCH($B56,Assign!$F$142:$F$158,0)-1,0),"")</f>
        <v/>
      </c>
    </row>
    <row r="57" spans="2:4">
      <c r="B57" s="2">
        <v>56</v>
      </c>
      <c r="C57" s="2" t="str">
        <f ca="1">IFERROR(OFFSET(Assign!$B$142,MATCH($B57,Assign!$F$142:$F$158,0)-1,0),"")</f>
        <v/>
      </c>
      <c r="D57" s="18" t="str">
        <f ca="1">IFERROR(OFFSET(Assign!$C$142,MATCH($B57,Assign!$F$142:$F$158,0)-1,0),"")</f>
        <v/>
      </c>
    </row>
    <row r="58" spans="2:4">
      <c r="B58" s="2">
        <v>57</v>
      </c>
      <c r="C58" s="2" t="str">
        <f ca="1">IFERROR(OFFSET(Assign!$B$142,MATCH($B58,Assign!$F$142:$F$158,0)-1,0),"")</f>
        <v/>
      </c>
      <c r="D58" s="18" t="str">
        <f ca="1">IFERROR(OFFSET(Assign!$C$142,MATCH($B58,Assign!$F$142:$F$158,0)-1,0),"")</f>
        <v/>
      </c>
    </row>
    <row r="59" spans="2:4">
      <c r="B59" s="2">
        <v>58</v>
      </c>
      <c r="C59" s="2" t="str">
        <f ca="1">IFERROR(OFFSET(Assign!$B$142,MATCH($B59,Assign!$F$142:$F$158,0)-1,0),"")</f>
        <v/>
      </c>
      <c r="D59" s="18" t="str">
        <f ca="1">IFERROR(OFFSET(Assign!$C$142,MATCH($B59,Assign!$F$142:$F$158,0)-1,0),"")</f>
        <v/>
      </c>
    </row>
    <row r="60" spans="2:4">
      <c r="B60" s="2">
        <v>59</v>
      </c>
      <c r="C60" s="2" t="str">
        <f ca="1">IFERROR(OFFSET(Assign!$B$142,MATCH($B60,Assign!$F$142:$F$158,0)-1,0),"")</f>
        <v/>
      </c>
      <c r="D60" s="18" t="str">
        <f ca="1">IFERROR(OFFSET(Assign!$C$142,MATCH($B60,Assign!$F$142:$F$158,0)-1,0),"")</f>
        <v/>
      </c>
    </row>
    <row r="61" spans="2:4">
      <c r="B61" s="2">
        <v>60</v>
      </c>
      <c r="C61" s="2" t="str">
        <f ca="1">IFERROR(OFFSET(Assign!$B$142,MATCH($B61,Assign!$F$142:$F$158,0)-1,0),"")</f>
        <v/>
      </c>
      <c r="D61" s="18" t="str">
        <f ca="1">IFERROR(OFFSET(Assign!$C$142,MATCH($B61,Assign!$F$142:$F$158,0)-1,0),"")</f>
        <v/>
      </c>
    </row>
    <row r="62" spans="2:4">
      <c r="B62" s="2">
        <v>61</v>
      </c>
      <c r="C62" s="2" t="str">
        <f ca="1">IFERROR(OFFSET(Assign!$B$142,MATCH($B62,Assign!$F$142:$F$158,0)-1,0),"")</f>
        <v/>
      </c>
      <c r="D62" s="18" t="str">
        <f ca="1">IFERROR(OFFSET(Assign!$C$142,MATCH($B62,Assign!$F$142:$F$158,0)-1,0),"")</f>
        <v/>
      </c>
    </row>
    <row r="63" spans="2:4">
      <c r="B63" s="2">
        <v>62</v>
      </c>
      <c r="C63" s="2" t="str">
        <f ca="1">IFERROR(OFFSET(Assign!$B$142,MATCH($B63,Assign!$F$142:$F$158,0)-1,0),"")</f>
        <v/>
      </c>
      <c r="D63" s="18" t="str">
        <f ca="1">IFERROR(OFFSET(Assign!$C$142,MATCH($B63,Assign!$F$142:$F$158,0)-1,0),"")</f>
        <v/>
      </c>
    </row>
    <row r="64" spans="2:4">
      <c r="B64" s="2">
        <v>63</v>
      </c>
      <c r="C64" s="2" t="str">
        <f ca="1">IFERROR(OFFSET(Assign!$B$142,MATCH($B64,Assign!$F$142:$F$158,0)-1,0),"")</f>
        <v/>
      </c>
      <c r="D64" s="18" t="str">
        <f ca="1">IFERROR(OFFSET(Assign!$C$142,MATCH($B64,Assign!$F$142:$F$158,0)-1,0),"")</f>
        <v/>
      </c>
    </row>
    <row r="65" spans="2:4">
      <c r="B65" s="2">
        <v>64</v>
      </c>
      <c r="C65" s="2" t="str">
        <f ca="1">IFERROR(OFFSET(Assign!$B$142,MATCH($B65,Assign!$F$142:$F$158,0)-1,0),"")</f>
        <v/>
      </c>
      <c r="D65" s="18" t="str">
        <f ca="1">IFERROR(OFFSET(Assign!$C$142,MATCH($B65,Assign!$F$142:$F$158,0)-1,0),"")</f>
        <v/>
      </c>
    </row>
    <row r="66" spans="2:4">
      <c r="B66" s="2">
        <v>65</v>
      </c>
      <c r="C66" s="2" t="str">
        <f ca="1">IFERROR(OFFSET(Assign!$B$142,MATCH($B66,Assign!$F$142:$F$158,0)-1,0),"")</f>
        <v/>
      </c>
      <c r="D66" s="18" t="str">
        <f ca="1">IFERROR(OFFSET(Assign!$C$142,MATCH($B66,Assign!$F$142:$F$158,0)-1,0),"")</f>
        <v/>
      </c>
    </row>
    <row r="67" spans="2:4">
      <c r="B67" s="2">
        <v>66</v>
      </c>
      <c r="C67" s="2" t="str">
        <f ca="1">IFERROR(OFFSET(Assign!$B$142,MATCH($B67,Assign!$F$142:$F$158,0)-1,0),"")</f>
        <v/>
      </c>
      <c r="D67" s="18" t="str">
        <f ca="1">IFERROR(OFFSET(Assign!$C$142,MATCH($B67,Assign!$F$142:$F$158,0)-1,0),"")</f>
        <v/>
      </c>
    </row>
    <row r="68" spans="2:4">
      <c r="B68" s="2">
        <v>67</v>
      </c>
      <c r="C68" s="2" t="str">
        <f ca="1">IFERROR(OFFSET(Assign!$B$142,MATCH($B68,Assign!$F$142:$F$158,0)-1,0),"")</f>
        <v/>
      </c>
      <c r="D68" s="18" t="str">
        <f ca="1">IFERROR(OFFSET(Assign!$C$142,MATCH($B68,Assign!$F$142:$F$158,0)-1,0),"")</f>
        <v/>
      </c>
    </row>
    <row r="69" spans="2:4">
      <c r="B69" s="2">
        <v>68</v>
      </c>
      <c r="C69" s="2" t="str">
        <f ca="1">IFERROR(OFFSET(Assign!$B$142,MATCH($B69,Assign!$F$142:$F$158,0)-1,0),"")</f>
        <v/>
      </c>
      <c r="D69" s="18" t="str">
        <f ca="1">IFERROR(OFFSET(Assign!$C$142,MATCH($B69,Assign!$F$142:$F$158,0)-1,0),"")</f>
        <v/>
      </c>
    </row>
    <row r="70" spans="2:4">
      <c r="B70" s="2">
        <v>69</v>
      </c>
      <c r="C70" s="2" t="str">
        <f ca="1">IFERROR(OFFSET(Assign!$B$142,MATCH($B70,Assign!$F$142:$F$158,0)-1,0),"")</f>
        <v/>
      </c>
      <c r="D70" s="18" t="str">
        <f ca="1">IFERROR(OFFSET(Assign!$C$142,MATCH($B70,Assign!$F$142:$F$158,0)-1,0),"")</f>
        <v/>
      </c>
    </row>
    <row r="71" spans="2:4">
      <c r="B71" s="2">
        <v>70</v>
      </c>
      <c r="C71" s="2" t="str">
        <f ca="1">IFERROR(OFFSET(Assign!$B$142,MATCH($B71,Assign!$F$142:$F$158,0)-1,0),"")</f>
        <v/>
      </c>
      <c r="D71" s="18" t="str">
        <f ca="1">IFERROR(OFFSET(Assign!$C$142,MATCH($B71,Assign!$F$142:$F$158,0)-1,0),"")</f>
        <v/>
      </c>
    </row>
    <row r="72" spans="2:4">
      <c r="B72" s="2">
        <v>71</v>
      </c>
      <c r="C72" s="2" t="str">
        <f ca="1">IFERROR(OFFSET(Assign!$B$142,MATCH($B72,Assign!$F$142:$F$158,0)-1,0),"")</f>
        <v/>
      </c>
      <c r="D72" s="18" t="str">
        <f ca="1">IFERROR(OFFSET(Assign!$C$142,MATCH($B72,Assign!$F$142:$F$158,0)-1,0),"")</f>
        <v/>
      </c>
    </row>
    <row r="73" spans="2:4">
      <c r="B73" s="2">
        <v>72</v>
      </c>
      <c r="C73" s="2" t="str">
        <f ca="1">IFERROR(OFFSET(Assign!$B$142,MATCH($B73,Assign!$F$142:$F$158,0)-1,0),"")</f>
        <v/>
      </c>
      <c r="D73" s="18" t="str">
        <f ca="1">IFERROR(OFFSET(Assign!$C$142,MATCH($B73,Assign!$F$142:$F$158,0)-1,0),"")</f>
        <v/>
      </c>
    </row>
    <row r="74" spans="2:4">
      <c r="B74" s="2">
        <v>73</v>
      </c>
      <c r="C74" s="2" t="str">
        <f ca="1">IFERROR(OFFSET(Assign!$B$142,MATCH($B74,Assign!$F$142:$F$158,0)-1,0),"")</f>
        <v/>
      </c>
      <c r="D74" s="18" t="str">
        <f ca="1">IFERROR(OFFSET(Assign!$C$142,MATCH($B74,Assign!$F$142:$F$158,0)-1,0),"")</f>
        <v/>
      </c>
    </row>
    <row r="75" spans="2:4">
      <c r="B75" s="2">
        <v>74</v>
      </c>
      <c r="C75" s="2" t="str">
        <f ca="1">IFERROR(OFFSET(Assign!$B$142,MATCH($B75,Assign!$F$142:$F$158,0)-1,0),"")</f>
        <v/>
      </c>
      <c r="D75" s="18" t="str">
        <f ca="1">IFERROR(OFFSET(Assign!$C$142,MATCH($B75,Assign!$F$142:$F$158,0)-1,0),"")</f>
        <v/>
      </c>
    </row>
    <row r="76" spans="2:4">
      <c r="B76" s="2">
        <v>75</v>
      </c>
      <c r="C76" s="2" t="str">
        <f ca="1">IFERROR(OFFSET(Assign!$B$142,MATCH($B76,Assign!$F$142:$F$158,0)-1,0),"")</f>
        <v/>
      </c>
      <c r="D76" s="18" t="str">
        <f ca="1">IFERROR(OFFSET(Assign!$C$142,MATCH($B76,Assign!$F$142:$F$158,0)-1,0),"")</f>
        <v/>
      </c>
    </row>
    <row r="77" spans="2:4">
      <c r="B77" s="2">
        <v>76</v>
      </c>
      <c r="C77" s="2" t="str">
        <f ca="1">IFERROR(OFFSET(Assign!$B$142,MATCH($B77,Assign!$F$142:$F$158,0)-1,0),"")</f>
        <v/>
      </c>
      <c r="D77" s="18" t="str">
        <f ca="1">IFERROR(OFFSET(Assign!$C$142,MATCH($B77,Assign!$F$142:$F$158,0)-1,0),"")</f>
        <v/>
      </c>
    </row>
    <row r="78" spans="2:4">
      <c r="B78" s="2">
        <v>77</v>
      </c>
      <c r="C78" s="2" t="str">
        <f ca="1">IFERROR(OFFSET(Assign!$B$142,MATCH($B78,Assign!$F$142:$F$158,0)-1,0),"")</f>
        <v/>
      </c>
      <c r="D78" s="18" t="str">
        <f ca="1">IFERROR(OFFSET(Assign!$C$142,MATCH($B78,Assign!$F$142:$F$158,0)-1,0),"")</f>
        <v/>
      </c>
    </row>
    <row r="79" spans="2:4">
      <c r="B79" s="2">
        <v>78</v>
      </c>
      <c r="C79" s="2" t="str">
        <f ca="1">IFERROR(OFFSET(Assign!$B$142,MATCH($B79,Assign!$F$142:$F$158,0)-1,0),"")</f>
        <v/>
      </c>
      <c r="D79" s="18" t="str">
        <f ca="1">IFERROR(OFFSET(Assign!$C$142,MATCH($B79,Assign!$F$142:$F$158,0)-1,0),"")</f>
        <v/>
      </c>
    </row>
    <row r="80" spans="2:4">
      <c r="B80" s="2">
        <v>79</v>
      </c>
      <c r="C80" s="2" t="str">
        <f ca="1">IFERROR(OFFSET(Assign!$B$142,MATCH($B80,Assign!$F$142:$F$158,0)-1,0),"")</f>
        <v/>
      </c>
      <c r="D80" s="18" t="str">
        <f ca="1">IFERROR(OFFSET(Assign!$C$142,MATCH($B80,Assign!$F$142:$F$158,0)-1,0),"")</f>
        <v/>
      </c>
    </row>
    <row r="81" spans="2:4">
      <c r="B81" s="2">
        <v>80</v>
      </c>
      <c r="C81" s="2" t="str">
        <f ca="1">IFERROR(OFFSET(Assign!$B$142,MATCH($B81,Assign!$F$142:$F$158,0)-1,0),"")</f>
        <v/>
      </c>
      <c r="D81" s="18" t="str">
        <f ca="1">IFERROR(OFFSET(Assign!$C$142,MATCH($B81,Assign!$F$142:$F$158,0)-1,0),"")</f>
        <v/>
      </c>
    </row>
    <row r="82" spans="2:4">
      <c r="B82" s="2">
        <v>81</v>
      </c>
      <c r="C82" s="2" t="str">
        <f ca="1">IFERROR(OFFSET(Assign!$B$142,MATCH($B82,Assign!$F$142:$F$158,0)-1,0),"")</f>
        <v/>
      </c>
      <c r="D82" s="18" t="str">
        <f ca="1">IFERROR(OFFSET(Assign!$C$142,MATCH($B82,Assign!$F$142:$F$158,0)-1,0),"")</f>
        <v/>
      </c>
    </row>
    <row r="83" spans="2:4">
      <c r="B83" s="2">
        <v>82</v>
      </c>
      <c r="C83" s="2" t="str">
        <f ca="1">IFERROR(OFFSET(Assign!$B$142,MATCH($B83,Assign!$F$142:$F$158,0)-1,0),"")</f>
        <v/>
      </c>
      <c r="D83" s="18" t="str">
        <f ca="1">IFERROR(OFFSET(Assign!$C$142,MATCH($B83,Assign!$F$142:$F$158,0)-1,0),"")</f>
        <v/>
      </c>
    </row>
    <row r="84" spans="2:4">
      <c r="B84" s="2">
        <v>83</v>
      </c>
      <c r="C84" s="2" t="str">
        <f ca="1">IFERROR(OFFSET(Assign!$B$142,MATCH($B84,Assign!$F$142:$F$158,0)-1,0),"")</f>
        <v/>
      </c>
      <c r="D84" s="18" t="str">
        <f ca="1">IFERROR(OFFSET(Assign!$C$142,MATCH($B84,Assign!$F$142:$F$158,0)-1,0),"")</f>
        <v/>
      </c>
    </row>
    <row r="85" spans="2:4">
      <c r="B85" s="2">
        <v>84</v>
      </c>
      <c r="C85" s="2" t="str">
        <f ca="1">IFERROR(OFFSET(Assign!$B$142,MATCH($B85,Assign!$F$142:$F$158,0)-1,0),"")</f>
        <v/>
      </c>
      <c r="D85" s="18" t="str">
        <f ca="1">IFERROR(OFFSET(Assign!$C$142,MATCH($B85,Assign!$F$142:$F$158,0)-1,0),"")</f>
        <v/>
      </c>
    </row>
    <row r="86" spans="2:4">
      <c r="B86" s="2">
        <v>85</v>
      </c>
      <c r="C86" s="2" t="str">
        <f ca="1">IFERROR(OFFSET(Assign!$B$142,MATCH($B86,Assign!$F$142:$F$158,0)-1,0),"")</f>
        <v/>
      </c>
      <c r="D86" s="18" t="str">
        <f ca="1">IFERROR(OFFSET(Assign!$C$142,MATCH($B86,Assign!$F$142:$F$158,0)-1,0),"")</f>
        <v/>
      </c>
    </row>
    <row r="87" spans="2:4">
      <c r="B87" s="2">
        <v>86</v>
      </c>
      <c r="C87" s="2" t="str">
        <f ca="1">IFERROR(OFFSET(Assign!$B$142,MATCH($B87,Assign!$F$142:$F$158,0)-1,0),"")</f>
        <v/>
      </c>
      <c r="D87" s="18" t="str">
        <f ca="1">IFERROR(OFFSET(Assign!$C$142,MATCH($B87,Assign!$F$142:$F$158,0)-1,0),"")</f>
        <v/>
      </c>
    </row>
    <row r="88" spans="2:4">
      <c r="B88" s="2">
        <v>87</v>
      </c>
      <c r="C88" s="2" t="str">
        <f ca="1">IFERROR(OFFSET(Assign!$B$142,MATCH($B88,Assign!$F$142:$F$158,0)-1,0),"")</f>
        <v/>
      </c>
      <c r="D88" s="18" t="str">
        <f ca="1">IFERROR(OFFSET(Assign!$C$142,MATCH($B88,Assign!$F$142:$F$158,0)-1,0),"")</f>
        <v/>
      </c>
    </row>
    <row r="89" spans="2:4">
      <c r="B89" s="2">
        <v>88</v>
      </c>
      <c r="C89" s="2" t="str">
        <f ca="1">IFERROR(OFFSET(Assign!$B$142,MATCH($B89,Assign!$F$142:$F$158,0)-1,0),"")</f>
        <v/>
      </c>
      <c r="D89" s="18" t="str">
        <f ca="1">IFERROR(OFFSET(Assign!$C$142,MATCH($B89,Assign!$F$142:$F$158,0)-1,0),"")</f>
        <v/>
      </c>
    </row>
    <row r="90" spans="2:4">
      <c r="B90" s="2">
        <v>89</v>
      </c>
      <c r="C90" s="2" t="str">
        <f ca="1">IFERROR(OFFSET(Assign!$B$142,MATCH($B90,Assign!$F$142:$F$158,0)-1,0),"")</f>
        <v/>
      </c>
      <c r="D90" s="18" t="str">
        <f ca="1">IFERROR(OFFSET(Assign!$C$142,MATCH($B90,Assign!$F$142:$F$158,0)-1,0),"")</f>
        <v/>
      </c>
    </row>
    <row r="91" spans="2:4">
      <c r="B91" s="2">
        <v>90</v>
      </c>
      <c r="C91" s="2" t="str">
        <f ca="1">IFERROR(OFFSET(Assign!$B$142,MATCH($B91,Assign!$F$142:$F$158,0)-1,0),"")</f>
        <v/>
      </c>
      <c r="D91" s="18" t="str">
        <f ca="1">IFERROR(OFFSET(Assign!$C$142,MATCH($B91,Assign!$F$142:$F$158,0)-1,0),"")</f>
        <v/>
      </c>
    </row>
    <row r="92" spans="2:4">
      <c r="B92" s="2">
        <v>91</v>
      </c>
      <c r="C92" s="2" t="str">
        <f ca="1">IFERROR(OFFSET(Assign!$B$142,MATCH($B92,Assign!$F$142:$F$158,0)-1,0),"")</f>
        <v/>
      </c>
      <c r="D92" s="18" t="str">
        <f ca="1">IFERROR(OFFSET(Assign!$C$142,MATCH($B92,Assign!$F$142:$F$158,0)-1,0),"")</f>
        <v/>
      </c>
    </row>
    <row r="93" spans="2:4">
      <c r="B93" s="2">
        <v>92</v>
      </c>
      <c r="C93" s="2" t="str">
        <f ca="1">IFERROR(OFFSET(Assign!$B$142,MATCH($B93,Assign!$F$142:$F$158,0)-1,0),"")</f>
        <v/>
      </c>
      <c r="D93" s="18" t="str">
        <f ca="1">IFERROR(OFFSET(Assign!$C$142,MATCH($B93,Assign!$F$142:$F$158,0)-1,0),"")</f>
        <v/>
      </c>
    </row>
    <row r="94" spans="2:4">
      <c r="B94" s="2">
        <v>93</v>
      </c>
      <c r="C94" s="2" t="str">
        <f ca="1">IFERROR(OFFSET(Assign!$B$142,MATCH($B94,Assign!$F$142:$F$158,0)-1,0),"")</f>
        <v/>
      </c>
      <c r="D94" s="18" t="str">
        <f ca="1">IFERROR(OFFSET(Assign!$C$142,MATCH($B94,Assign!$F$142:$F$158,0)-1,0),"")</f>
        <v/>
      </c>
    </row>
    <row r="95" spans="2:4">
      <c r="B95" s="2">
        <v>94</v>
      </c>
      <c r="C95" s="2" t="str">
        <f ca="1">IFERROR(OFFSET(Assign!$B$142,MATCH($B95,Assign!$F$142:$F$158,0)-1,0),"")</f>
        <v/>
      </c>
      <c r="D95" s="18" t="str">
        <f ca="1">IFERROR(OFFSET(Assign!$C$142,MATCH($B95,Assign!$F$142:$F$158,0)-1,0),"")</f>
        <v/>
      </c>
    </row>
    <row r="96" spans="2:4">
      <c r="B96" s="2">
        <v>95</v>
      </c>
      <c r="C96" s="2" t="str">
        <f ca="1">IFERROR(OFFSET(Assign!$B$142,MATCH($B96,Assign!$F$142:$F$158,0)-1,0),"")</f>
        <v/>
      </c>
      <c r="D96" s="18" t="str">
        <f ca="1">IFERROR(OFFSET(Assign!$C$142,MATCH($B96,Assign!$F$142:$F$158,0)-1,0),"")</f>
        <v/>
      </c>
    </row>
    <row r="97" spans="2:4">
      <c r="B97" s="2">
        <v>96</v>
      </c>
      <c r="C97" s="2" t="str">
        <f ca="1">IFERROR(OFFSET(Assign!$B$142,MATCH($B97,Assign!$F$142:$F$158,0)-1,0),"")</f>
        <v/>
      </c>
      <c r="D97" s="18" t="str">
        <f ca="1">IFERROR(OFFSET(Assign!$C$142,MATCH($B97,Assign!$F$142:$F$158,0)-1,0),"")</f>
        <v/>
      </c>
    </row>
    <row r="98" spans="2:4">
      <c r="B98" s="2">
        <v>97</v>
      </c>
      <c r="C98" s="2" t="str">
        <f ca="1">IFERROR(OFFSET(Assign!$B$142,MATCH($B98,Assign!$F$142:$F$158,0)-1,0),"")</f>
        <v/>
      </c>
      <c r="D98" s="18" t="str">
        <f ca="1">IFERROR(OFFSET(Assign!$C$142,MATCH($B98,Assign!$F$142:$F$158,0)-1,0),"")</f>
        <v/>
      </c>
    </row>
    <row r="99" spans="2:4">
      <c r="B99" s="2">
        <v>98</v>
      </c>
      <c r="C99" s="2" t="str">
        <f ca="1">IFERROR(OFFSET(Assign!$B$142,MATCH($B99,Assign!$F$142:$F$158,0)-1,0),"")</f>
        <v/>
      </c>
      <c r="D99" s="18" t="str">
        <f ca="1">IFERROR(OFFSET(Assign!$C$142,MATCH($B99,Assign!$F$142:$F$158,0)-1,0),"")</f>
        <v/>
      </c>
    </row>
    <row r="100" spans="2:4">
      <c r="B100" s="2">
        <v>99</v>
      </c>
      <c r="C100" s="2" t="str">
        <f ca="1">IFERROR(OFFSET(Assign!$B$142,MATCH($B100,Assign!$F$142:$F$158,0)-1,0),"")</f>
        <v/>
      </c>
      <c r="D100" s="18" t="str">
        <f ca="1">IFERROR(OFFSET(Assign!$C$142,MATCH($B100,Assign!$F$142:$F$158,0)-1,0),"")</f>
        <v/>
      </c>
    </row>
    <row r="101" spans="2:4">
      <c r="B101" s="2">
        <v>100</v>
      </c>
      <c r="C101" s="2" t="str">
        <f ca="1">IFERROR(OFFSET(Assign!$B$142,MATCH($B101,Assign!$F$142:$F$158,0)-1,0),"")</f>
        <v/>
      </c>
      <c r="D101" s="18" t="str">
        <f ca="1">IFERROR(OFFSET(Assign!$C$142,MATCH($B101,Assign!$F$142:$F$158,0)-1,0),"")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G9" sqref="G9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9" style="2"/>
    <col min="6" max="6" width="10.25" style="2" customWidth="1"/>
    <col min="7" max="7" width="36" style="2" customWidth="1"/>
    <col min="8" max="16384" width="9" style="2"/>
  </cols>
  <sheetData>
    <row r="1" spans="2:7">
      <c r="B1" s="2" t="s">
        <v>89</v>
      </c>
      <c r="C1" s="2" t="s">
        <v>88</v>
      </c>
      <c r="D1" s="18" t="s">
        <v>87</v>
      </c>
      <c r="E1" s="2" t="s">
        <v>86</v>
      </c>
      <c r="F1" s="2" t="s">
        <v>192</v>
      </c>
      <c r="G1" s="2" t="s">
        <v>85</v>
      </c>
    </row>
    <row r="2" spans="2:7">
      <c r="B2" s="2">
        <v>1</v>
      </c>
      <c r="C2" s="2" t="str">
        <f ca="1">IFERROR(OFFSET(Assign!$B$160,MATCH($B2,Assign!$F$160:$F$179,0)-1,0),"")</f>
        <v/>
      </c>
      <c r="D2" s="18" t="str">
        <f ca="1">IFERROR(OFFSET(Assign!$C$160,MATCH($B2,Assign!$F$160:$F$179,0)-1,0),"")</f>
        <v/>
      </c>
    </row>
    <row r="3" spans="2:7">
      <c r="B3" s="2">
        <v>2</v>
      </c>
      <c r="C3" s="2" t="str">
        <f ca="1">IFERROR(OFFSET(Assign!$B$160,MATCH($B3,Assign!$F$160:$F$179,0)-1,0),"")</f>
        <v/>
      </c>
      <c r="D3" s="18" t="str">
        <f ca="1">IFERROR(OFFSET(Assign!$C$160,MATCH($B3,Assign!$F$160:$F$179,0)-1,0),"")</f>
        <v/>
      </c>
    </row>
    <row r="4" spans="2:7">
      <c r="B4" s="2">
        <v>3</v>
      </c>
      <c r="C4" s="2" t="str">
        <f ca="1">IFERROR(OFFSET(Assign!$B$160,MATCH($B4,Assign!$F$160:$F$179,0)-1,0),"")</f>
        <v/>
      </c>
      <c r="D4" s="18" t="str">
        <f ca="1">IFERROR(OFFSET(Assign!$C$160,MATCH($B4,Assign!$F$160:$F$179,0)-1,0),"")</f>
        <v/>
      </c>
    </row>
    <row r="5" spans="2:7">
      <c r="B5" s="2">
        <v>4</v>
      </c>
      <c r="C5" s="2" t="str">
        <f ca="1">IFERROR(OFFSET(Assign!$B$160,MATCH($B5,Assign!$F$160:$F$179,0)-1,0),"")</f>
        <v/>
      </c>
      <c r="D5" s="18" t="str">
        <f ca="1">IFERROR(OFFSET(Assign!$C$160,MATCH($B5,Assign!$F$160:$F$179,0)-1,0),"")</f>
        <v/>
      </c>
    </row>
    <row r="6" spans="2:7">
      <c r="B6" s="2">
        <v>5</v>
      </c>
      <c r="C6" s="2" t="str">
        <f ca="1">IFERROR(OFFSET(Assign!$B$160,MATCH($B6,Assign!$F$160:$F$179,0)-1,0),"")</f>
        <v/>
      </c>
      <c r="D6" s="18" t="str">
        <f ca="1">IFERROR(OFFSET(Assign!$C$160,MATCH($B6,Assign!$F$160:$F$179,0)-1,0),"")</f>
        <v/>
      </c>
    </row>
    <row r="7" spans="2:7">
      <c r="B7" s="2">
        <v>6</v>
      </c>
      <c r="C7" s="2" t="str">
        <f ca="1">IFERROR(OFFSET(Assign!$B$160,MATCH($B7,Assign!$F$160:$F$179,0)-1,0),"")</f>
        <v/>
      </c>
      <c r="D7" s="18" t="str">
        <f ca="1">IFERROR(OFFSET(Assign!$C$160,MATCH($B7,Assign!$F$160:$F$179,0)-1,0),"")</f>
        <v/>
      </c>
    </row>
    <row r="8" spans="2:7">
      <c r="B8" s="2">
        <v>7</v>
      </c>
      <c r="C8" s="2" t="str">
        <f ca="1">IFERROR(OFFSET(Assign!$B$160,MATCH($B8,Assign!$F$160:$F$179,0)-1,0),"")</f>
        <v/>
      </c>
      <c r="D8" s="18" t="str">
        <f ca="1">IFERROR(OFFSET(Assign!$C$160,MATCH($B8,Assign!$F$160:$F$179,0)-1,0),"")</f>
        <v/>
      </c>
    </row>
    <row r="9" spans="2:7">
      <c r="B9" s="2">
        <v>8</v>
      </c>
      <c r="C9" s="2" t="str">
        <f ca="1">IFERROR(OFFSET(Assign!$B$160,MATCH($B9,Assign!$F$160:$F$179,0)-1,0),"")</f>
        <v/>
      </c>
      <c r="D9" s="18" t="str">
        <f ca="1">IFERROR(OFFSET(Assign!$C$160,MATCH($B9,Assign!$F$160:$F$179,0)-1,0),"")</f>
        <v/>
      </c>
    </row>
    <row r="10" spans="2:7">
      <c r="B10" s="2">
        <v>9</v>
      </c>
      <c r="C10" s="2" t="str">
        <f ca="1">IFERROR(OFFSET(Assign!$B$160,MATCH($B10,Assign!$F$160:$F$179,0)-1,0),"")</f>
        <v/>
      </c>
      <c r="D10" s="18" t="str">
        <f ca="1">IFERROR(OFFSET(Assign!$C$160,MATCH($B10,Assign!$F$160:$F$179,0)-1,0),"")</f>
        <v/>
      </c>
    </row>
    <row r="11" spans="2:7">
      <c r="B11" s="2">
        <v>10</v>
      </c>
      <c r="C11" s="2" t="str">
        <f ca="1">IFERROR(OFFSET(Assign!$B$160,MATCH($B11,Assign!$F$160:$F$179,0)-1,0),"")</f>
        <v/>
      </c>
      <c r="D11" s="18" t="str">
        <f ca="1">IFERROR(OFFSET(Assign!$C$160,MATCH($B11,Assign!$F$160:$F$179,0)-1,0),"")</f>
        <v/>
      </c>
    </row>
    <row r="12" spans="2:7">
      <c r="B12" s="2">
        <v>11</v>
      </c>
      <c r="C12" s="2" t="str">
        <f ca="1">IFERROR(OFFSET(Assign!$B$160,MATCH($B12,Assign!$F$160:$F$179,0)-1,0),"")</f>
        <v/>
      </c>
      <c r="D12" s="18" t="str">
        <f ca="1">IFERROR(OFFSET(Assign!$C$160,MATCH($B12,Assign!$F$160:$F$179,0)-1,0),"")</f>
        <v/>
      </c>
    </row>
    <row r="13" spans="2:7">
      <c r="B13" s="2">
        <v>12</v>
      </c>
      <c r="C13" s="2" t="str">
        <f ca="1">IFERROR(OFFSET(Assign!$B$160,MATCH($B13,Assign!$F$160:$F$179,0)-1,0),"")</f>
        <v/>
      </c>
      <c r="D13" s="18" t="str">
        <f ca="1">IFERROR(OFFSET(Assign!$C$160,MATCH($B13,Assign!$F$160:$F$179,0)-1,0),"")</f>
        <v/>
      </c>
    </row>
    <row r="14" spans="2:7">
      <c r="B14" s="2">
        <v>13</v>
      </c>
      <c r="C14" s="2" t="str">
        <f ca="1">IFERROR(OFFSET(Assign!$B$160,MATCH($B14,Assign!$F$160:$F$179,0)-1,0),"")</f>
        <v/>
      </c>
      <c r="D14" s="18" t="str">
        <f ca="1">IFERROR(OFFSET(Assign!$C$160,MATCH($B14,Assign!$F$160:$F$179,0)-1,0),"")</f>
        <v/>
      </c>
    </row>
    <row r="15" spans="2:7">
      <c r="B15" s="2">
        <v>14</v>
      </c>
      <c r="C15" s="2" t="str">
        <f ca="1">IFERROR(OFFSET(Assign!$B$160,MATCH($B15,Assign!$F$160:$F$179,0)-1,0),"")</f>
        <v/>
      </c>
      <c r="D15" s="18" t="str">
        <f ca="1">IFERROR(OFFSET(Assign!$C$160,MATCH($B15,Assign!$F$160:$F$179,0)-1,0),"")</f>
        <v/>
      </c>
    </row>
    <row r="16" spans="2:7">
      <c r="B16" s="2">
        <v>15</v>
      </c>
      <c r="C16" s="2" t="str">
        <f ca="1">IFERROR(OFFSET(Assign!$B$160,MATCH($B16,Assign!$F$160:$F$179,0)-1,0),"")</f>
        <v/>
      </c>
      <c r="D16" s="18" t="str">
        <f ca="1">IFERROR(OFFSET(Assign!$C$160,MATCH($B16,Assign!$F$160:$F$179,0)-1,0),"")</f>
        <v/>
      </c>
    </row>
    <row r="17" spans="2:4">
      <c r="B17" s="2">
        <v>16</v>
      </c>
      <c r="C17" s="2" t="str">
        <f ca="1">IFERROR(OFFSET(Assign!$B$160,MATCH($B17,Assign!$F$160:$F$179,0)-1,0),"")</f>
        <v/>
      </c>
      <c r="D17" s="18" t="str">
        <f ca="1">IFERROR(OFFSET(Assign!$C$160,MATCH($B17,Assign!$F$160:$F$179,0)-1,0),"")</f>
        <v/>
      </c>
    </row>
    <row r="18" spans="2:4">
      <c r="B18" s="2">
        <v>17</v>
      </c>
      <c r="C18" s="2" t="str">
        <f ca="1">IFERROR(OFFSET(Assign!$B$160,MATCH($B18,Assign!$F$160:$F$179,0)-1,0),"")</f>
        <v/>
      </c>
      <c r="D18" s="18" t="str">
        <f ca="1">IFERROR(OFFSET(Assign!$C$160,MATCH($B18,Assign!$F$160:$F$179,0)-1,0),"")</f>
        <v/>
      </c>
    </row>
    <row r="19" spans="2:4">
      <c r="B19" s="2">
        <v>18</v>
      </c>
      <c r="C19" s="2" t="str">
        <f ca="1">IFERROR(OFFSET(Assign!$B$160,MATCH($B19,Assign!$F$160:$F$179,0)-1,0),"")</f>
        <v/>
      </c>
      <c r="D19" s="18" t="str">
        <f ca="1">IFERROR(OFFSET(Assign!$C$160,MATCH($B19,Assign!$F$160:$F$179,0)-1,0),"")</f>
        <v/>
      </c>
    </row>
    <row r="20" spans="2:4">
      <c r="B20" s="2">
        <v>19</v>
      </c>
      <c r="C20" s="2" t="str">
        <f ca="1">IFERROR(OFFSET(Assign!$B$160,MATCH($B20,Assign!$F$160:$F$179,0)-1,0),"")</f>
        <v/>
      </c>
      <c r="D20" s="18" t="str">
        <f ca="1">IFERROR(OFFSET(Assign!$C$160,MATCH($B20,Assign!$F$160:$F$179,0)-1,0),"")</f>
        <v/>
      </c>
    </row>
    <row r="21" spans="2:4">
      <c r="B21" s="2">
        <v>20</v>
      </c>
      <c r="C21" s="2" t="str">
        <f ca="1">IFERROR(OFFSET(Assign!$B$160,MATCH($B21,Assign!$F$160:$F$179,0)-1,0),"")</f>
        <v/>
      </c>
      <c r="D21" s="18" t="str">
        <f ca="1">IFERROR(OFFSET(Assign!$C$160,MATCH($B21,Assign!$F$160:$F$179,0)-1,0),"")</f>
        <v/>
      </c>
    </row>
    <row r="22" spans="2:4">
      <c r="B22" s="2">
        <v>21</v>
      </c>
      <c r="C22" s="2" t="str">
        <f ca="1">IFERROR(OFFSET(Assign!$B$160,MATCH($B22,Assign!$F$160:$F$179,0)-1,0),"")</f>
        <v/>
      </c>
      <c r="D22" s="18" t="str">
        <f ca="1">IFERROR(OFFSET(Assign!$C$160,MATCH($B22,Assign!$F$160:$F$179,0)-1,0),"")</f>
        <v/>
      </c>
    </row>
    <row r="23" spans="2:4">
      <c r="B23" s="2">
        <v>22</v>
      </c>
      <c r="C23" s="2" t="str">
        <f ca="1">IFERROR(OFFSET(Assign!$B$160,MATCH($B23,Assign!$F$160:$F$179,0)-1,0),"")</f>
        <v/>
      </c>
      <c r="D23" s="18" t="str">
        <f ca="1">IFERROR(OFFSET(Assign!$C$160,MATCH($B23,Assign!$F$160:$F$179,0)-1,0),"")</f>
        <v/>
      </c>
    </row>
    <row r="24" spans="2:4">
      <c r="B24" s="2">
        <v>23</v>
      </c>
      <c r="C24" s="2" t="str">
        <f ca="1">IFERROR(OFFSET(Assign!$B$160,MATCH($B24,Assign!$F$160:$F$179,0)-1,0),"")</f>
        <v/>
      </c>
      <c r="D24" s="18" t="str">
        <f ca="1">IFERROR(OFFSET(Assign!$C$160,MATCH($B24,Assign!$F$160:$F$179,0)-1,0),"")</f>
        <v/>
      </c>
    </row>
    <row r="25" spans="2:4">
      <c r="B25" s="2">
        <v>24</v>
      </c>
      <c r="C25" s="2" t="str">
        <f ca="1">IFERROR(OFFSET(Assign!$B$160,MATCH($B25,Assign!$F$160:$F$179,0)-1,0),"")</f>
        <v/>
      </c>
      <c r="D25" s="18" t="str">
        <f ca="1">IFERROR(OFFSET(Assign!$C$160,MATCH($B25,Assign!$F$160:$F$179,0)-1,0),"")</f>
        <v/>
      </c>
    </row>
    <row r="26" spans="2:4">
      <c r="B26" s="2">
        <v>25</v>
      </c>
      <c r="C26" s="2" t="str">
        <f ca="1">IFERROR(OFFSET(Assign!$B$160,MATCH($B26,Assign!$F$160:$F$179,0)-1,0),"")</f>
        <v/>
      </c>
      <c r="D26" s="18" t="str">
        <f ca="1">IFERROR(OFFSET(Assign!$C$160,MATCH($B26,Assign!$F$160:$F$179,0)-1,0),"")</f>
        <v/>
      </c>
    </row>
    <row r="27" spans="2:4">
      <c r="B27" s="2">
        <v>26</v>
      </c>
      <c r="C27" s="2" t="str">
        <f ca="1">IFERROR(OFFSET(Assign!$B$160,MATCH($B27,Assign!$F$160:$F$179,0)-1,0),"")</f>
        <v/>
      </c>
      <c r="D27" s="18" t="str">
        <f ca="1">IFERROR(OFFSET(Assign!$C$160,MATCH($B27,Assign!$F$160:$F$179,0)-1,0),"")</f>
        <v/>
      </c>
    </row>
    <row r="28" spans="2:4">
      <c r="B28" s="2">
        <v>27</v>
      </c>
      <c r="C28" s="2" t="str">
        <f ca="1">IFERROR(OFFSET(Assign!$B$160,MATCH($B28,Assign!$F$160:$F$179,0)-1,0),"")</f>
        <v/>
      </c>
      <c r="D28" s="18" t="str">
        <f ca="1">IFERROR(OFFSET(Assign!$C$160,MATCH($B28,Assign!$F$160:$F$179,0)-1,0),"")</f>
        <v/>
      </c>
    </row>
    <row r="29" spans="2:4">
      <c r="B29" s="2">
        <v>28</v>
      </c>
      <c r="C29" s="2" t="str">
        <f ca="1">IFERROR(OFFSET(Assign!$B$160,MATCH($B29,Assign!$F$160:$F$179,0)-1,0),"")</f>
        <v/>
      </c>
      <c r="D29" s="18" t="str">
        <f ca="1">IFERROR(OFFSET(Assign!$C$160,MATCH($B29,Assign!$F$160:$F$179,0)-1,0),"")</f>
        <v/>
      </c>
    </row>
    <row r="30" spans="2:4">
      <c r="B30" s="2">
        <v>29</v>
      </c>
      <c r="C30" s="2" t="str">
        <f ca="1">IFERROR(OFFSET(Assign!$B$160,MATCH($B30,Assign!$F$160:$F$179,0)-1,0),"")</f>
        <v/>
      </c>
      <c r="D30" s="18" t="str">
        <f ca="1">IFERROR(OFFSET(Assign!$C$160,MATCH($B30,Assign!$F$160:$F$179,0)-1,0),"")</f>
        <v/>
      </c>
    </row>
    <row r="31" spans="2:4">
      <c r="B31" s="2">
        <v>30</v>
      </c>
      <c r="C31" s="2" t="str">
        <f ca="1">IFERROR(OFFSET(Assign!$B$160,MATCH($B31,Assign!$F$160:$F$179,0)-1,0),"")</f>
        <v/>
      </c>
      <c r="D31" s="18" t="str">
        <f ca="1">IFERROR(OFFSET(Assign!$C$160,MATCH($B31,Assign!$F$160:$F$179,0)-1,0),"")</f>
        <v/>
      </c>
    </row>
    <row r="32" spans="2:4">
      <c r="B32" s="2">
        <v>31</v>
      </c>
      <c r="C32" s="2" t="str">
        <f ca="1">IFERROR(OFFSET(Assign!$B$160,MATCH($B32,Assign!$F$160:$F$179,0)-1,0),"")</f>
        <v/>
      </c>
      <c r="D32" s="18" t="str">
        <f ca="1">IFERROR(OFFSET(Assign!$C$160,MATCH($B32,Assign!$F$160:$F$179,0)-1,0),"")</f>
        <v/>
      </c>
    </row>
    <row r="33" spans="2:4">
      <c r="B33" s="2">
        <v>32</v>
      </c>
      <c r="C33" s="2" t="str">
        <f ca="1">IFERROR(OFFSET(Assign!$B$160,MATCH($B33,Assign!$F$160:$F$179,0)-1,0),"")</f>
        <v/>
      </c>
      <c r="D33" s="18" t="str">
        <f ca="1">IFERROR(OFFSET(Assign!$C$160,MATCH($B33,Assign!$F$160:$F$179,0)-1,0),"")</f>
        <v/>
      </c>
    </row>
    <row r="34" spans="2:4">
      <c r="B34" s="2">
        <v>33</v>
      </c>
      <c r="C34" s="2" t="str">
        <f ca="1">IFERROR(OFFSET(Assign!$B$160,MATCH($B34,Assign!$F$160:$F$179,0)-1,0),"")</f>
        <v/>
      </c>
      <c r="D34" s="18" t="str">
        <f ca="1">IFERROR(OFFSET(Assign!$C$160,MATCH($B34,Assign!$F$160:$F$179,0)-1,0),"")</f>
        <v/>
      </c>
    </row>
    <row r="35" spans="2:4">
      <c r="B35" s="2">
        <v>34</v>
      </c>
      <c r="C35" s="2" t="str">
        <f ca="1">IFERROR(OFFSET(Assign!$B$160,MATCH($B35,Assign!$F$160:$F$179,0)-1,0),"")</f>
        <v/>
      </c>
      <c r="D35" s="18" t="str">
        <f ca="1">IFERROR(OFFSET(Assign!$C$160,MATCH($B35,Assign!$F$160:$F$179,0)-1,0),"")</f>
        <v/>
      </c>
    </row>
    <row r="36" spans="2:4">
      <c r="B36" s="2">
        <v>35</v>
      </c>
      <c r="C36" s="2" t="str">
        <f ca="1">IFERROR(OFFSET(Assign!$B$160,MATCH($B36,Assign!$F$160:$F$179,0)-1,0),"")</f>
        <v/>
      </c>
      <c r="D36" s="18" t="str">
        <f ca="1">IFERROR(OFFSET(Assign!$C$160,MATCH($B36,Assign!$F$160:$F$179,0)-1,0),"")</f>
        <v/>
      </c>
    </row>
    <row r="37" spans="2:4">
      <c r="B37" s="2">
        <v>36</v>
      </c>
      <c r="C37" s="2" t="str">
        <f ca="1">IFERROR(OFFSET(Assign!$B$160,MATCH($B37,Assign!$F$160:$F$179,0)-1,0),"")</f>
        <v/>
      </c>
      <c r="D37" s="18" t="str">
        <f ca="1">IFERROR(OFFSET(Assign!$C$160,MATCH($B37,Assign!$F$160:$F$179,0)-1,0),"")</f>
        <v/>
      </c>
    </row>
    <row r="38" spans="2:4">
      <c r="B38" s="2">
        <v>37</v>
      </c>
      <c r="C38" s="2" t="str">
        <f ca="1">IFERROR(OFFSET(Assign!$B$160,MATCH($B38,Assign!$F$160:$F$179,0)-1,0),"")</f>
        <v/>
      </c>
      <c r="D38" s="18" t="str">
        <f ca="1">IFERROR(OFFSET(Assign!$C$160,MATCH($B38,Assign!$F$160:$F$179,0)-1,0),"")</f>
        <v/>
      </c>
    </row>
    <row r="39" spans="2:4">
      <c r="B39" s="2">
        <v>38</v>
      </c>
      <c r="C39" s="2" t="str">
        <f ca="1">IFERROR(OFFSET(Assign!$B$160,MATCH($B39,Assign!$F$160:$F$179,0)-1,0),"")</f>
        <v/>
      </c>
      <c r="D39" s="18" t="str">
        <f ca="1">IFERROR(OFFSET(Assign!$C$160,MATCH($B39,Assign!$F$160:$F$179,0)-1,0),"")</f>
        <v/>
      </c>
    </row>
    <row r="40" spans="2:4">
      <c r="B40" s="2">
        <v>39</v>
      </c>
      <c r="C40" s="2" t="str">
        <f ca="1">IFERROR(OFFSET(Assign!$B$160,MATCH($B40,Assign!$F$160:$F$179,0)-1,0),"")</f>
        <v/>
      </c>
      <c r="D40" s="18" t="str">
        <f ca="1">IFERROR(OFFSET(Assign!$C$160,MATCH($B40,Assign!$F$160:$F$179,0)-1,0),"")</f>
        <v/>
      </c>
    </row>
    <row r="41" spans="2:4">
      <c r="B41" s="2">
        <v>40</v>
      </c>
      <c r="C41" s="2" t="str">
        <f ca="1">IFERROR(OFFSET(Assign!$B$160,MATCH($B41,Assign!$F$160:$F$179,0)-1,0),"")</f>
        <v/>
      </c>
      <c r="D41" s="18" t="str">
        <f ca="1">IFERROR(OFFSET(Assign!$C$160,MATCH($B41,Assign!$F$160:$F$179,0)-1,0),"")</f>
        <v/>
      </c>
    </row>
    <row r="42" spans="2:4">
      <c r="B42" s="2">
        <v>41</v>
      </c>
      <c r="C42" s="2" t="str">
        <f ca="1">IFERROR(OFFSET(Assign!$B$160,MATCH($B42,Assign!$F$160:$F$179,0)-1,0),"")</f>
        <v/>
      </c>
      <c r="D42" s="18" t="str">
        <f ca="1">IFERROR(OFFSET(Assign!$C$160,MATCH($B42,Assign!$F$160:$F$179,0)-1,0),"")</f>
        <v/>
      </c>
    </row>
    <row r="43" spans="2:4">
      <c r="B43" s="2">
        <v>42</v>
      </c>
      <c r="C43" s="2" t="str">
        <f ca="1">IFERROR(OFFSET(Assign!$B$160,MATCH($B43,Assign!$F$160:$F$179,0)-1,0),"")</f>
        <v/>
      </c>
      <c r="D43" s="18" t="str">
        <f ca="1">IFERROR(OFFSET(Assign!$C$160,MATCH($B43,Assign!$F$160:$F$179,0)-1,0),"")</f>
        <v/>
      </c>
    </row>
    <row r="44" spans="2:4">
      <c r="B44" s="2">
        <v>43</v>
      </c>
      <c r="C44" s="2" t="str">
        <f ca="1">IFERROR(OFFSET(Assign!$B$160,MATCH($B44,Assign!$F$160:$F$179,0)-1,0),"")</f>
        <v/>
      </c>
      <c r="D44" s="18" t="str">
        <f ca="1">IFERROR(OFFSET(Assign!$C$160,MATCH($B44,Assign!$F$160:$F$179,0)-1,0),"")</f>
        <v/>
      </c>
    </row>
    <row r="45" spans="2:4">
      <c r="B45" s="2">
        <v>44</v>
      </c>
      <c r="C45" s="2" t="str">
        <f ca="1">IFERROR(OFFSET(Assign!$B$160,MATCH($B45,Assign!$F$160:$F$179,0)-1,0),"")</f>
        <v/>
      </c>
      <c r="D45" s="18" t="str">
        <f ca="1">IFERROR(OFFSET(Assign!$C$160,MATCH($B45,Assign!$F$160:$F$179,0)-1,0),"")</f>
        <v/>
      </c>
    </row>
    <row r="46" spans="2:4">
      <c r="B46" s="2">
        <v>45</v>
      </c>
      <c r="C46" s="2" t="str">
        <f ca="1">IFERROR(OFFSET(Assign!$B$160,MATCH($B46,Assign!$F$160:$F$179,0)-1,0),"")</f>
        <v/>
      </c>
      <c r="D46" s="18" t="str">
        <f ca="1">IFERROR(OFFSET(Assign!$C$160,MATCH($B46,Assign!$F$160:$F$179,0)-1,0),"")</f>
        <v/>
      </c>
    </row>
    <row r="47" spans="2:4">
      <c r="B47" s="2">
        <v>46</v>
      </c>
      <c r="C47" s="2" t="str">
        <f ca="1">IFERROR(OFFSET(Assign!$B$160,MATCH($B47,Assign!$F$160:$F$179,0)-1,0),"")</f>
        <v/>
      </c>
      <c r="D47" s="18" t="str">
        <f ca="1">IFERROR(OFFSET(Assign!$C$160,MATCH($B47,Assign!$F$160:$F$179,0)-1,0),"")</f>
        <v/>
      </c>
    </row>
    <row r="48" spans="2:4">
      <c r="B48" s="2">
        <v>47</v>
      </c>
      <c r="C48" s="2" t="str">
        <f ca="1">IFERROR(OFFSET(Assign!$B$160,MATCH($B48,Assign!$F$160:$F$179,0)-1,0),"")</f>
        <v/>
      </c>
      <c r="D48" s="18" t="str">
        <f ca="1">IFERROR(OFFSET(Assign!$C$160,MATCH($B48,Assign!$F$160:$F$179,0)-1,0),"")</f>
        <v/>
      </c>
    </row>
    <row r="49" spans="2:4">
      <c r="B49" s="2">
        <v>48</v>
      </c>
      <c r="C49" s="2" t="str">
        <f ca="1">IFERROR(OFFSET(Assign!$B$160,MATCH($B49,Assign!$F$160:$F$179,0)-1,0),"")</f>
        <v/>
      </c>
      <c r="D49" s="18" t="str">
        <f ca="1">IFERROR(OFFSET(Assign!$C$160,MATCH($B49,Assign!$F$160:$F$179,0)-1,0),"")</f>
        <v/>
      </c>
    </row>
    <row r="50" spans="2:4">
      <c r="B50" s="2">
        <v>49</v>
      </c>
      <c r="C50" s="2" t="str">
        <f ca="1">IFERROR(OFFSET(Assign!$B$160,MATCH($B50,Assign!$F$160:$F$179,0)-1,0),"")</f>
        <v/>
      </c>
      <c r="D50" s="18" t="str">
        <f ca="1">IFERROR(OFFSET(Assign!$C$160,MATCH($B50,Assign!$F$160:$F$179,0)-1,0),"")</f>
        <v/>
      </c>
    </row>
    <row r="51" spans="2:4">
      <c r="B51" s="2">
        <v>50</v>
      </c>
      <c r="C51" s="2" t="str">
        <f ca="1">IFERROR(OFFSET(Assign!$B$160,MATCH($B51,Assign!$F$160:$F$179,0)-1,0),"")</f>
        <v/>
      </c>
      <c r="D51" s="18" t="str">
        <f ca="1">IFERROR(OFFSET(Assign!$C$160,MATCH($B51,Assign!$F$160:$F$179,0)-1,0),"")</f>
        <v/>
      </c>
    </row>
    <row r="52" spans="2:4">
      <c r="B52" s="2">
        <v>51</v>
      </c>
      <c r="C52" s="2" t="str">
        <f ca="1">IFERROR(OFFSET(Assign!$B$160,MATCH($B52,Assign!$F$160:$F$179,0)-1,0),"")</f>
        <v/>
      </c>
      <c r="D52" s="18" t="str">
        <f ca="1">IFERROR(OFFSET(Assign!$C$160,MATCH($B52,Assign!$F$160:$F$179,0)-1,0),"")</f>
        <v/>
      </c>
    </row>
    <row r="53" spans="2:4">
      <c r="B53" s="2">
        <v>52</v>
      </c>
      <c r="C53" s="2" t="str">
        <f ca="1">IFERROR(OFFSET(Assign!$B$160,MATCH($B53,Assign!$F$160:$F$179,0)-1,0),"")</f>
        <v/>
      </c>
      <c r="D53" s="18" t="str">
        <f ca="1">IFERROR(OFFSET(Assign!$C$160,MATCH($B53,Assign!$F$160:$F$179,0)-1,0),"")</f>
        <v/>
      </c>
    </row>
    <row r="54" spans="2:4">
      <c r="B54" s="2">
        <v>53</v>
      </c>
      <c r="C54" s="2" t="str">
        <f ca="1">IFERROR(OFFSET(Assign!$B$160,MATCH($B54,Assign!$F$160:$F$179,0)-1,0),"")</f>
        <v/>
      </c>
      <c r="D54" s="18" t="str">
        <f ca="1">IFERROR(OFFSET(Assign!$C$160,MATCH($B54,Assign!$F$160:$F$179,0)-1,0),"")</f>
        <v/>
      </c>
    </row>
    <row r="55" spans="2:4">
      <c r="B55" s="2">
        <v>54</v>
      </c>
      <c r="C55" s="2" t="str">
        <f ca="1">IFERROR(OFFSET(Assign!$B$160,MATCH($B55,Assign!$F$160:$F$179,0)-1,0),"")</f>
        <v/>
      </c>
      <c r="D55" s="18" t="str">
        <f ca="1">IFERROR(OFFSET(Assign!$C$160,MATCH($B55,Assign!$F$160:$F$179,0)-1,0),"")</f>
        <v/>
      </c>
    </row>
    <row r="56" spans="2:4">
      <c r="B56" s="2">
        <v>55</v>
      </c>
      <c r="C56" s="2" t="str">
        <f ca="1">IFERROR(OFFSET(Assign!$B$160,MATCH($B56,Assign!$F$160:$F$179,0)-1,0),"")</f>
        <v/>
      </c>
      <c r="D56" s="18" t="str">
        <f ca="1">IFERROR(OFFSET(Assign!$C$160,MATCH($B56,Assign!$F$160:$F$179,0)-1,0),"")</f>
        <v/>
      </c>
    </row>
    <row r="57" spans="2:4">
      <c r="B57" s="2">
        <v>56</v>
      </c>
      <c r="C57" s="2" t="str">
        <f ca="1">IFERROR(OFFSET(Assign!$B$160,MATCH($B57,Assign!$F$160:$F$179,0)-1,0),"")</f>
        <v/>
      </c>
      <c r="D57" s="18" t="str">
        <f ca="1">IFERROR(OFFSET(Assign!$C$160,MATCH($B57,Assign!$F$160:$F$179,0)-1,0),"")</f>
        <v/>
      </c>
    </row>
    <row r="58" spans="2:4">
      <c r="B58" s="2">
        <v>57</v>
      </c>
      <c r="C58" s="2" t="str">
        <f ca="1">IFERROR(OFFSET(Assign!$B$160,MATCH($B58,Assign!$F$160:$F$179,0)-1,0),"")</f>
        <v/>
      </c>
      <c r="D58" s="18" t="str">
        <f ca="1">IFERROR(OFFSET(Assign!$C$160,MATCH($B58,Assign!$F$160:$F$179,0)-1,0),"")</f>
        <v/>
      </c>
    </row>
    <row r="59" spans="2:4">
      <c r="B59" s="2">
        <v>58</v>
      </c>
      <c r="C59" s="2" t="str">
        <f ca="1">IFERROR(OFFSET(Assign!$B$160,MATCH($B59,Assign!$F$160:$F$179,0)-1,0),"")</f>
        <v/>
      </c>
      <c r="D59" s="18" t="str">
        <f ca="1">IFERROR(OFFSET(Assign!$C$160,MATCH($B59,Assign!$F$160:$F$179,0)-1,0),"")</f>
        <v/>
      </c>
    </row>
    <row r="60" spans="2:4">
      <c r="B60" s="2">
        <v>59</v>
      </c>
      <c r="C60" s="2" t="str">
        <f ca="1">IFERROR(OFFSET(Assign!$B$160,MATCH($B60,Assign!$F$160:$F$179,0)-1,0),"")</f>
        <v/>
      </c>
      <c r="D60" s="18" t="str">
        <f ca="1">IFERROR(OFFSET(Assign!$C$160,MATCH($B60,Assign!$F$160:$F$179,0)-1,0),"")</f>
        <v/>
      </c>
    </row>
    <row r="61" spans="2:4">
      <c r="B61" s="2">
        <v>60</v>
      </c>
      <c r="C61" s="2" t="str">
        <f ca="1">IFERROR(OFFSET(Assign!$B$160,MATCH($B61,Assign!$F$160:$F$179,0)-1,0),"")</f>
        <v/>
      </c>
      <c r="D61" s="18" t="str">
        <f ca="1">IFERROR(OFFSET(Assign!$C$160,MATCH($B61,Assign!$F$160:$F$179,0)-1,0),"")</f>
        <v/>
      </c>
    </row>
    <row r="62" spans="2:4">
      <c r="B62" s="2">
        <v>61</v>
      </c>
      <c r="C62" s="2" t="str">
        <f ca="1">IFERROR(OFFSET(Assign!$B$160,MATCH($B62,Assign!$F$160:$F$179,0)-1,0),"")</f>
        <v/>
      </c>
      <c r="D62" s="18" t="str">
        <f ca="1">IFERROR(OFFSET(Assign!$C$160,MATCH($B62,Assign!$F$160:$F$179,0)-1,0),"")</f>
        <v/>
      </c>
    </row>
    <row r="63" spans="2:4">
      <c r="B63" s="2">
        <v>62</v>
      </c>
      <c r="C63" s="2" t="str">
        <f ca="1">IFERROR(OFFSET(Assign!$B$160,MATCH($B63,Assign!$F$160:$F$179,0)-1,0),"")</f>
        <v/>
      </c>
      <c r="D63" s="18" t="str">
        <f ca="1">IFERROR(OFFSET(Assign!$C$160,MATCH($B63,Assign!$F$160:$F$179,0)-1,0),"")</f>
        <v/>
      </c>
    </row>
    <row r="64" spans="2:4">
      <c r="B64" s="2">
        <v>63</v>
      </c>
      <c r="C64" s="2" t="str">
        <f ca="1">IFERROR(OFFSET(Assign!$B$160,MATCH($B64,Assign!$F$160:$F$179,0)-1,0),"")</f>
        <v/>
      </c>
      <c r="D64" s="18" t="str">
        <f ca="1">IFERROR(OFFSET(Assign!$C$160,MATCH($B64,Assign!$F$160:$F$179,0)-1,0),"")</f>
        <v/>
      </c>
    </row>
    <row r="65" spans="2:4">
      <c r="B65" s="2">
        <v>64</v>
      </c>
      <c r="C65" s="2" t="str">
        <f ca="1">IFERROR(OFFSET(Assign!$B$160,MATCH($B65,Assign!$F$160:$F$179,0)-1,0),"")</f>
        <v/>
      </c>
      <c r="D65" s="18" t="str">
        <f ca="1">IFERROR(OFFSET(Assign!$C$160,MATCH($B65,Assign!$F$160:$F$179,0)-1,0),"")</f>
        <v/>
      </c>
    </row>
    <row r="66" spans="2:4">
      <c r="B66" s="2">
        <v>65</v>
      </c>
      <c r="C66" s="2" t="str">
        <f ca="1">IFERROR(OFFSET(Assign!$B$160,MATCH($B66,Assign!$F$160:$F$179,0)-1,0),"")</f>
        <v/>
      </c>
      <c r="D66" s="18" t="str">
        <f ca="1">IFERROR(OFFSET(Assign!$C$160,MATCH($B66,Assign!$F$160:$F$179,0)-1,0),"")</f>
        <v/>
      </c>
    </row>
    <row r="67" spans="2:4">
      <c r="B67" s="2">
        <v>66</v>
      </c>
      <c r="C67" s="2" t="str">
        <f ca="1">IFERROR(OFFSET(Assign!$B$160,MATCH($B67,Assign!$F$160:$F$179,0)-1,0),"")</f>
        <v/>
      </c>
      <c r="D67" s="18" t="str">
        <f ca="1">IFERROR(OFFSET(Assign!$C$160,MATCH($B67,Assign!$F$160:$F$179,0)-1,0),"")</f>
        <v/>
      </c>
    </row>
    <row r="68" spans="2:4">
      <c r="B68" s="2">
        <v>67</v>
      </c>
      <c r="C68" s="2" t="str">
        <f ca="1">IFERROR(OFFSET(Assign!$B$160,MATCH($B68,Assign!$F$160:$F$179,0)-1,0),"")</f>
        <v/>
      </c>
      <c r="D68" s="18" t="str">
        <f ca="1">IFERROR(OFFSET(Assign!$C$160,MATCH($B68,Assign!$F$160:$F$179,0)-1,0),"")</f>
        <v/>
      </c>
    </row>
    <row r="69" spans="2:4">
      <c r="B69" s="2">
        <v>68</v>
      </c>
      <c r="C69" s="2" t="str">
        <f ca="1">IFERROR(OFFSET(Assign!$B$160,MATCH($B69,Assign!$F$160:$F$179,0)-1,0),"")</f>
        <v/>
      </c>
      <c r="D69" s="18" t="str">
        <f ca="1">IFERROR(OFFSET(Assign!$C$160,MATCH($B69,Assign!$F$160:$F$179,0)-1,0),"")</f>
        <v/>
      </c>
    </row>
    <row r="70" spans="2:4">
      <c r="B70" s="2">
        <v>69</v>
      </c>
      <c r="C70" s="2" t="str">
        <f ca="1">IFERROR(OFFSET(Assign!$B$160,MATCH($B70,Assign!$F$160:$F$179,0)-1,0),"")</f>
        <v/>
      </c>
      <c r="D70" s="18" t="str">
        <f ca="1">IFERROR(OFFSET(Assign!$C$160,MATCH($B70,Assign!$F$160:$F$179,0)-1,0),"")</f>
        <v/>
      </c>
    </row>
    <row r="71" spans="2:4">
      <c r="B71" s="2">
        <v>70</v>
      </c>
      <c r="C71" s="2" t="str">
        <f ca="1">IFERROR(OFFSET(Assign!$B$160,MATCH($B71,Assign!$F$160:$F$179,0)-1,0),"")</f>
        <v/>
      </c>
      <c r="D71" s="18" t="str">
        <f ca="1">IFERROR(OFFSET(Assign!$C$160,MATCH($B71,Assign!$F$160:$F$179,0)-1,0),"")</f>
        <v/>
      </c>
    </row>
    <row r="72" spans="2:4">
      <c r="B72" s="2">
        <v>71</v>
      </c>
      <c r="C72" s="2" t="str">
        <f ca="1">IFERROR(OFFSET(Assign!$B$160,MATCH($B72,Assign!$F$160:$F$179,0)-1,0),"")</f>
        <v/>
      </c>
      <c r="D72" s="18" t="str">
        <f ca="1">IFERROR(OFFSET(Assign!$C$160,MATCH($B72,Assign!$F$160:$F$179,0)-1,0),"")</f>
        <v/>
      </c>
    </row>
    <row r="73" spans="2:4">
      <c r="B73" s="2">
        <v>72</v>
      </c>
      <c r="C73" s="2" t="str">
        <f ca="1">IFERROR(OFFSET(Assign!$B$160,MATCH($B73,Assign!$F$160:$F$179,0)-1,0),"")</f>
        <v/>
      </c>
      <c r="D73" s="18" t="str">
        <f ca="1">IFERROR(OFFSET(Assign!$C$160,MATCH($B73,Assign!$F$160:$F$179,0)-1,0),"")</f>
        <v/>
      </c>
    </row>
    <row r="74" spans="2:4">
      <c r="B74" s="2">
        <v>73</v>
      </c>
      <c r="C74" s="2" t="str">
        <f ca="1">IFERROR(OFFSET(Assign!$B$160,MATCH($B74,Assign!$F$160:$F$179,0)-1,0),"")</f>
        <v/>
      </c>
      <c r="D74" s="18" t="str">
        <f ca="1">IFERROR(OFFSET(Assign!$C$160,MATCH($B74,Assign!$F$160:$F$179,0)-1,0),"")</f>
        <v/>
      </c>
    </row>
    <row r="75" spans="2:4">
      <c r="B75" s="2">
        <v>74</v>
      </c>
      <c r="C75" s="2" t="str">
        <f ca="1">IFERROR(OFFSET(Assign!$B$160,MATCH($B75,Assign!$F$160:$F$179,0)-1,0),"")</f>
        <v/>
      </c>
      <c r="D75" s="18" t="str">
        <f ca="1">IFERROR(OFFSET(Assign!$C$160,MATCH($B75,Assign!$F$160:$F$179,0)-1,0),"")</f>
        <v/>
      </c>
    </row>
    <row r="76" spans="2:4">
      <c r="B76" s="2">
        <v>75</v>
      </c>
      <c r="C76" s="2" t="str">
        <f ca="1">IFERROR(OFFSET(Assign!$B$160,MATCH($B76,Assign!$F$160:$F$179,0)-1,0),"")</f>
        <v/>
      </c>
      <c r="D76" s="18" t="str">
        <f ca="1">IFERROR(OFFSET(Assign!$C$160,MATCH($B76,Assign!$F$160:$F$179,0)-1,0),"")</f>
        <v/>
      </c>
    </row>
    <row r="77" spans="2:4">
      <c r="B77" s="2">
        <v>76</v>
      </c>
      <c r="C77" s="2" t="str">
        <f ca="1">IFERROR(OFFSET(Assign!$B$160,MATCH($B77,Assign!$F$160:$F$179,0)-1,0),"")</f>
        <v/>
      </c>
      <c r="D77" s="18" t="str">
        <f ca="1">IFERROR(OFFSET(Assign!$C$160,MATCH($B77,Assign!$F$160:$F$179,0)-1,0),"")</f>
        <v/>
      </c>
    </row>
    <row r="78" spans="2:4">
      <c r="B78" s="2">
        <v>77</v>
      </c>
      <c r="C78" s="2" t="str">
        <f ca="1">IFERROR(OFFSET(Assign!$B$160,MATCH($B78,Assign!$F$160:$F$179,0)-1,0),"")</f>
        <v/>
      </c>
      <c r="D78" s="18" t="str">
        <f ca="1">IFERROR(OFFSET(Assign!$C$160,MATCH($B78,Assign!$F$160:$F$179,0)-1,0),"")</f>
        <v/>
      </c>
    </row>
    <row r="79" spans="2:4">
      <c r="B79" s="2">
        <v>78</v>
      </c>
      <c r="C79" s="2" t="str">
        <f ca="1">IFERROR(OFFSET(Assign!$B$160,MATCH($B79,Assign!$F$160:$F$179,0)-1,0),"")</f>
        <v/>
      </c>
      <c r="D79" s="18" t="str">
        <f ca="1">IFERROR(OFFSET(Assign!$C$160,MATCH($B79,Assign!$F$160:$F$179,0)-1,0),"")</f>
        <v/>
      </c>
    </row>
    <row r="80" spans="2:4">
      <c r="B80" s="2">
        <v>79</v>
      </c>
      <c r="C80" s="2" t="str">
        <f ca="1">IFERROR(OFFSET(Assign!$B$160,MATCH($B80,Assign!$F$160:$F$179,0)-1,0),"")</f>
        <v/>
      </c>
      <c r="D80" s="18" t="str">
        <f ca="1">IFERROR(OFFSET(Assign!$C$160,MATCH($B80,Assign!$F$160:$F$179,0)-1,0),"")</f>
        <v/>
      </c>
    </row>
    <row r="81" spans="2:4">
      <c r="B81" s="2">
        <v>80</v>
      </c>
      <c r="C81" s="2" t="str">
        <f ca="1">IFERROR(OFFSET(Assign!$B$160,MATCH($B81,Assign!$F$160:$F$179,0)-1,0),"")</f>
        <v/>
      </c>
      <c r="D81" s="18" t="str">
        <f ca="1">IFERROR(OFFSET(Assign!$C$160,MATCH($B81,Assign!$F$160:$F$179,0)-1,0),"")</f>
        <v/>
      </c>
    </row>
    <row r="82" spans="2:4">
      <c r="B82" s="2">
        <v>81</v>
      </c>
      <c r="C82" s="2" t="str">
        <f ca="1">IFERROR(OFFSET(Assign!$B$160,MATCH($B82,Assign!$F$160:$F$179,0)-1,0),"")</f>
        <v/>
      </c>
      <c r="D82" s="18" t="str">
        <f ca="1">IFERROR(OFFSET(Assign!$C$160,MATCH($B82,Assign!$F$160:$F$179,0)-1,0),"")</f>
        <v/>
      </c>
    </row>
    <row r="83" spans="2:4">
      <c r="B83" s="2">
        <v>82</v>
      </c>
      <c r="C83" s="2" t="str">
        <f ca="1">IFERROR(OFFSET(Assign!$B$160,MATCH($B83,Assign!$F$160:$F$179,0)-1,0),"")</f>
        <v/>
      </c>
      <c r="D83" s="18" t="str">
        <f ca="1">IFERROR(OFFSET(Assign!$C$160,MATCH($B83,Assign!$F$160:$F$179,0)-1,0),"")</f>
        <v/>
      </c>
    </row>
    <row r="84" spans="2:4">
      <c r="B84" s="2">
        <v>83</v>
      </c>
      <c r="C84" s="2" t="str">
        <f ca="1">IFERROR(OFFSET(Assign!$B$160,MATCH($B84,Assign!$F$160:$F$179,0)-1,0),"")</f>
        <v/>
      </c>
      <c r="D84" s="18" t="str">
        <f ca="1">IFERROR(OFFSET(Assign!$C$160,MATCH($B84,Assign!$F$160:$F$179,0)-1,0),"")</f>
        <v/>
      </c>
    </row>
    <row r="85" spans="2:4">
      <c r="B85" s="2">
        <v>84</v>
      </c>
      <c r="C85" s="2" t="str">
        <f ca="1">IFERROR(OFFSET(Assign!$B$160,MATCH($B85,Assign!$F$160:$F$179,0)-1,0),"")</f>
        <v/>
      </c>
      <c r="D85" s="18" t="str">
        <f ca="1">IFERROR(OFFSET(Assign!$C$160,MATCH($B85,Assign!$F$160:$F$179,0)-1,0),"")</f>
        <v/>
      </c>
    </row>
    <row r="86" spans="2:4">
      <c r="B86" s="2">
        <v>85</v>
      </c>
      <c r="C86" s="2" t="str">
        <f ca="1">IFERROR(OFFSET(Assign!$B$160,MATCH($B86,Assign!$F$160:$F$179,0)-1,0),"")</f>
        <v/>
      </c>
      <c r="D86" s="18" t="str">
        <f ca="1">IFERROR(OFFSET(Assign!$C$160,MATCH($B86,Assign!$F$160:$F$179,0)-1,0),"")</f>
        <v/>
      </c>
    </row>
    <row r="87" spans="2:4">
      <c r="B87" s="2">
        <v>86</v>
      </c>
      <c r="C87" s="2" t="str">
        <f ca="1">IFERROR(OFFSET(Assign!$B$160,MATCH($B87,Assign!$F$160:$F$179,0)-1,0),"")</f>
        <v/>
      </c>
      <c r="D87" s="18" t="str">
        <f ca="1">IFERROR(OFFSET(Assign!$C$160,MATCH($B87,Assign!$F$160:$F$179,0)-1,0),"")</f>
        <v/>
      </c>
    </row>
    <row r="88" spans="2:4">
      <c r="B88" s="2">
        <v>87</v>
      </c>
      <c r="C88" s="2" t="str">
        <f ca="1">IFERROR(OFFSET(Assign!$B$160,MATCH($B88,Assign!$F$160:$F$179,0)-1,0),"")</f>
        <v/>
      </c>
      <c r="D88" s="18" t="str">
        <f ca="1">IFERROR(OFFSET(Assign!$C$160,MATCH($B88,Assign!$F$160:$F$179,0)-1,0),"")</f>
        <v/>
      </c>
    </row>
    <row r="89" spans="2:4">
      <c r="B89" s="2">
        <v>88</v>
      </c>
      <c r="C89" s="2" t="str">
        <f ca="1">IFERROR(OFFSET(Assign!$B$160,MATCH($B89,Assign!$F$160:$F$179,0)-1,0),"")</f>
        <v/>
      </c>
      <c r="D89" s="18" t="str">
        <f ca="1">IFERROR(OFFSET(Assign!$C$160,MATCH($B89,Assign!$F$160:$F$179,0)-1,0),"")</f>
        <v/>
      </c>
    </row>
    <row r="90" spans="2:4">
      <c r="B90" s="2">
        <v>89</v>
      </c>
      <c r="C90" s="2" t="str">
        <f ca="1">IFERROR(OFFSET(Assign!$B$160,MATCH($B90,Assign!$F$160:$F$179,0)-1,0),"")</f>
        <v/>
      </c>
      <c r="D90" s="18" t="str">
        <f ca="1">IFERROR(OFFSET(Assign!$C$160,MATCH($B90,Assign!$F$160:$F$179,0)-1,0),"")</f>
        <v/>
      </c>
    </row>
    <row r="91" spans="2:4">
      <c r="B91" s="2">
        <v>90</v>
      </c>
      <c r="C91" s="2" t="str">
        <f ca="1">IFERROR(OFFSET(Assign!$B$160,MATCH($B91,Assign!$F$160:$F$179,0)-1,0),"")</f>
        <v/>
      </c>
      <c r="D91" s="18" t="str">
        <f ca="1">IFERROR(OFFSET(Assign!$C$160,MATCH($B91,Assign!$F$160:$F$179,0)-1,0),"")</f>
        <v/>
      </c>
    </row>
    <row r="92" spans="2:4">
      <c r="B92" s="2">
        <v>91</v>
      </c>
      <c r="C92" s="2" t="str">
        <f ca="1">IFERROR(OFFSET(Assign!$B$160,MATCH($B92,Assign!$F$160:$F$179,0)-1,0),"")</f>
        <v/>
      </c>
      <c r="D92" s="18" t="str">
        <f ca="1">IFERROR(OFFSET(Assign!$C$160,MATCH($B92,Assign!$F$160:$F$179,0)-1,0),"")</f>
        <v/>
      </c>
    </row>
    <row r="93" spans="2:4">
      <c r="B93" s="2">
        <v>92</v>
      </c>
      <c r="C93" s="2" t="str">
        <f ca="1">IFERROR(OFFSET(Assign!$B$160,MATCH($B93,Assign!$F$160:$F$179,0)-1,0),"")</f>
        <v/>
      </c>
      <c r="D93" s="18" t="str">
        <f ca="1">IFERROR(OFFSET(Assign!$C$160,MATCH($B93,Assign!$F$160:$F$179,0)-1,0),"")</f>
        <v/>
      </c>
    </row>
    <row r="94" spans="2:4">
      <c r="B94" s="2">
        <v>93</v>
      </c>
      <c r="C94" s="2" t="str">
        <f ca="1">IFERROR(OFFSET(Assign!$B$160,MATCH($B94,Assign!$F$160:$F$179,0)-1,0),"")</f>
        <v/>
      </c>
      <c r="D94" s="18" t="str">
        <f ca="1">IFERROR(OFFSET(Assign!$C$160,MATCH($B94,Assign!$F$160:$F$179,0)-1,0),"")</f>
        <v/>
      </c>
    </row>
    <row r="95" spans="2:4">
      <c r="B95" s="2">
        <v>94</v>
      </c>
      <c r="C95" s="2" t="str">
        <f ca="1">IFERROR(OFFSET(Assign!$B$160,MATCH($B95,Assign!$F$160:$F$179,0)-1,0),"")</f>
        <v/>
      </c>
      <c r="D95" s="18" t="str">
        <f ca="1">IFERROR(OFFSET(Assign!$C$160,MATCH($B95,Assign!$F$160:$F$179,0)-1,0),"")</f>
        <v/>
      </c>
    </row>
    <row r="96" spans="2:4">
      <c r="B96" s="2">
        <v>95</v>
      </c>
      <c r="C96" s="2" t="str">
        <f ca="1">IFERROR(OFFSET(Assign!$B$160,MATCH($B96,Assign!$F$160:$F$179,0)-1,0),"")</f>
        <v/>
      </c>
      <c r="D96" s="18" t="str">
        <f ca="1">IFERROR(OFFSET(Assign!$C$160,MATCH($B96,Assign!$F$160:$F$179,0)-1,0),"")</f>
        <v/>
      </c>
    </row>
    <row r="97" spans="2:4">
      <c r="B97" s="2">
        <v>96</v>
      </c>
      <c r="C97" s="2" t="str">
        <f ca="1">IFERROR(OFFSET(Assign!$B$160,MATCH($B97,Assign!$F$160:$F$179,0)-1,0),"")</f>
        <v/>
      </c>
      <c r="D97" s="18" t="str">
        <f ca="1">IFERROR(OFFSET(Assign!$C$160,MATCH($B97,Assign!$F$160:$F$179,0)-1,0),"")</f>
        <v/>
      </c>
    </row>
    <row r="98" spans="2:4">
      <c r="B98" s="2">
        <v>97</v>
      </c>
      <c r="C98" s="2" t="str">
        <f ca="1">IFERROR(OFFSET(Assign!$B$160,MATCH($B98,Assign!$F$160:$F$179,0)-1,0),"")</f>
        <v/>
      </c>
      <c r="D98" s="18" t="str">
        <f ca="1">IFERROR(OFFSET(Assign!$C$160,MATCH($B98,Assign!$F$160:$F$179,0)-1,0),"")</f>
        <v/>
      </c>
    </row>
    <row r="99" spans="2:4">
      <c r="B99" s="2">
        <v>98</v>
      </c>
      <c r="C99" s="2" t="str">
        <f ca="1">IFERROR(OFFSET(Assign!$B$160,MATCH($B99,Assign!$F$160:$F$179,0)-1,0),"")</f>
        <v/>
      </c>
      <c r="D99" s="18" t="str">
        <f ca="1">IFERROR(OFFSET(Assign!$C$160,MATCH($B99,Assign!$F$160:$F$179,0)-1,0),"")</f>
        <v/>
      </c>
    </row>
    <row r="100" spans="2:4">
      <c r="B100" s="2">
        <v>99</v>
      </c>
      <c r="C100" s="2" t="str">
        <f ca="1">IFERROR(OFFSET(Assign!$B$160,MATCH($B100,Assign!$F$160:$F$179,0)-1,0),"")</f>
        <v/>
      </c>
      <c r="D100" s="18" t="str">
        <f ca="1">IFERROR(OFFSET(Assign!$C$160,MATCH($B100,Assign!$F$160:$F$179,0)-1,0),"")</f>
        <v/>
      </c>
    </row>
    <row r="101" spans="2:4">
      <c r="B101" s="2">
        <v>100</v>
      </c>
      <c r="C101" s="2" t="str">
        <f ca="1">IFERROR(OFFSET(Assign!$B$160,MATCH($B101,Assign!$F$160:$F$179,0)-1,0),"")</f>
        <v/>
      </c>
      <c r="D101" s="18" t="str">
        <f ca="1">IFERROR(OFFSET(Assign!$C$160,MATCH($B101,Assign!$F$160:$F$179,0)-1,0),"")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G9" sqref="G9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9" style="2"/>
    <col min="6" max="6" width="10.25" style="2" customWidth="1"/>
    <col min="7" max="7" width="36" style="2" customWidth="1"/>
    <col min="8" max="16384" width="9" style="2"/>
  </cols>
  <sheetData>
    <row r="1" spans="2:7">
      <c r="B1" s="2" t="s">
        <v>79</v>
      </c>
      <c r="C1" s="2" t="s">
        <v>84</v>
      </c>
      <c r="D1" s="18" t="s">
        <v>25</v>
      </c>
      <c r="E1" s="2" t="s">
        <v>83</v>
      </c>
      <c r="F1" s="2" t="s">
        <v>192</v>
      </c>
      <c r="G1" s="2" t="s">
        <v>82</v>
      </c>
    </row>
    <row r="2" spans="2:7">
      <c r="B2" s="2">
        <v>1</v>
      </c>
      <c r="C2" s="2" t="str">
        <f ca="1">IFERROR(OFFSET(Assign!$B$181,MATCH($B2,Assign!$F$181:$F$208,0)-1,0),"")</f>
        <v/>
      </c>
      <c r="D2" s="18" t="str">
        <f ca="1">IFERROR(OFFSET(Assign!$C$181,MATCH($B2,Assign!$F$181:$F$208,0)-1,0),"")</f>
        <v/>
      </c>
    </row>
    <row r="3" spans="2:7">
      <c r="B3" s="2">
        <v>2</v>
      </c>
      <c r="C3" s="2" t="str">
        <f ca="1">IFERROR(OFFSET(Assign!$B$181,MATCH($B3,Assign!$F$181:$F$208,0)-1,0),"")</f>
        <v/>
      </c>
      <c r="D3" s="18" t="str">
        <f ca="1">IFERROR(OFFSET(Assign!$C$181,MATCH($B3,Assign!$F$181:$F$208,0)-1,0),"")</f>
        <v/>
      </c>
    </row>
    <row r="4" spans="2:7">
      <c r="B4" s="2">
        <v>3</v>
      </c>
      <c r="C4" s="2" t="str">
        <f ca="1">IFERROR(OFFSET(Assign!$B$181,MATCH($B4,Assign!$F$181:$F$208,0)-1,0),"")</f>
        <v/>
      </c>
      <c r="D4" s="18" t="str">
        <f ca="1">IFERROR(OFFSET(Assign!$C$181,MATCH($B4,Assign!$F$181:$F$208,0)-1,0),"")</f>
        <v/>
      </c>
    </row>
    <row r="5" spans="2:7">
      <c r="B5" s="2">
        <v>4</v>
      </c>
      <c r="C5" s="2" t="str">
        <f ca="1">IFERROR(OFFSET(Assign!$B$181,MATCH($B5,Assign!$F$181:$F$208,0)-1,0),"")</f>
        <v/>
      </c>
      <c r="D5" s="18" t="str">
        <f ca="1">IFERROR(OFFSET(Assign!$C$181,MATCH($B5,Assign!$F$181:$F$208,0)-1,0),"")</f>
        <v/>
      </c>
    </row>
    <row r="6" spans="2:7">
      <c r="B6" s="2">
        <v>5</v>
      </c>
      <c r="C6" s="2" t="str">
        <f ca="1">IFERROR(OFFSET(Assign!$B$181,MATCH($B6,Assign!$F$181:$F$208,0)-1,0),"")</f>
        <v/>
      </c>
      <c r="D6" s="18" t="str">
        <f ca="1">IFERROR(OFFSET(Assign!$C$181,MATCH($B6,Assign!$F$181:$F$208,0)-1,0),"")</f>
        <v/>
      </c>
    </row>
    <row r="7" spans="2:7">
      <c r="B7" s="2">
        <v>6</v>
      </c>
      <c r="C7" s="2" t="str">
        <f ca="1">IFERROR(OFFSET(Assign!$B$181,MATCH($B7,Assign!$F$181:$F$208,0)-1,0),"")</f>
        <v/>
      </c>
      <c r="D7" s="18" t="str">
        <f ca="1">IFERROR(OFFSET(Assign!$C$181,MATCH($B7,Assign!$F$181:$F$208,0)-1,0),"")</f>
        <v/>
      </c>
    </row>
    <row r="8" spans="2:7">
      <c r="B8" s="2">
        <v>7</v>
      </c>
      <c r="C8" s="2" t="str">
        <f ca="1">IFERROR(OFFSET(Assign!$B$181,MATCH($B8,Assign!$F$181:$F$208,0)-1,0),"")</f>
        <v/>
      </c>
      <c r="D8" s="18" t="str">
        <f ca="1">IFERROR(OFFSET(Assign!$C$181,MATCH($B8,Assign!$F$181:$F$208,0)-1,0),"")</f>
        <v/>
      </c>
    </row>
    <row r="9" spans="2:7">
      <c r="B9" s="2">
        <v>8</v>
      </c>
      <c r="C9" s="2" t="str">
        <f ca="1">IFERROR(OFFSET(Assign!$B$181,MATCH($B9,Assign!$F$181:$F$208,0)-1,0),"")</f>
        <v/>
      </c>
      <c r="D9" s="18" t="str">
        <f ca="1">IFERROR(OFFSET(Assign!$C$181,MATCH($B9,Assign!$F$181:$F$208,0)-1,0),"")</f>
        <v/>
      </c>
    </row>
    <row r="10" spans="2:7">
      <c r="B10" s="2">
        <v>9</v>
      </c>
      <c r="C10" s="2" t="str">
        <f ca="1">IFERROR(OFFSET(Assign!$B$181,MATCH($B10,Assign!$F$181:$F$208,0)-1,0),"")</f>
        <v/>
      </c>
      <c r="D10" s="18" t="str">
        <f ca="1">IFERROR(OFFSET(Assign!$C$181,MATCH($B10,Assign!$F$181:$F$208,0)-1,0),"")</f>
        <v/>
      </c>
    </row>
    <row r="11" spans="2:7">
      <c r="B11" s="2">
        <v>10</v>
      </c>
      <c r="C11" s="2" t="str">
        <f ca="1">IFERROR(OFFSET(Assign!$B$181,MATCH($B11,Assign!$F$181:$F$208,0)-1,0),"")</f>
        <v/>
      </c>
      <c r="D11" s="18" t="str">
        <f ca="1">IFERROR(OFFSET(Assign!$C$181,MATCH($B11,Assign!$F$181:$F$208,0)-1,0),"")</f>
        <v/>
      </c>
    </row>
    <row r="12" spans="2:7">
      <c r="B12" s="2">
        <v>11</v>
      </c>
      <c r="C12" s="2" t="str">
        <f ca="1">IFERROR(OFFSET(Assign!$B$181,MATCH($B12,Assign!$F$181:$F$208,0)-1,0),"")</f>
        <v/>
      </c>
      <c r="D12" s="18" t="str">
        <f ca="1">IFERROR(OFFSET(Assign!$C$181,MATCH($B12,Assign!$F$181:$F$208,0)-1,0),"")</f>
        <v/>
      </c>
    </row>
    <row r="13" spans="2:7">
      <c r="B13" s="2">
        <v>12</v>
      </c>
      <c r="C13" s="2" t="str">
        <f ca="1">IFERROR(OFFSET(Assign!$B$181,MATCH($B13,Assign!$F$181:$F$208,0)-1,0),"")</f>
        <v/>
      </c>
      <c r="D13" s="18" t="str">
        <f ca="1">IFERROR(OFFSET(Assign!$C$181,MATCH($B13,Assign!$F$181:$F$208,0)-1,0),"")</f>
        <v/>
      </c>
    </row>
    <row r="14" spans="2:7">
      <c r="B14" s="2">
        <v>13</v>
      </c>
      <c r="C14" s="2" t="str">
        <f ca="1">IFERROR(OFFSET(Assign!$B$181,MATCH($B14,Assign!$F$181:$F$208,0)-1,0),"")</f>
        <v/>
      </c>
      <c r="D14" s="18" t="str">
        <f ca="1">IFERROR(OFFSET(Assign!$C$181,MATCH($B14,Assign!$F$181:$F$208,0)-1,0),"")</f>
        <v/>
      </c>
    </row>
    <row r="15" spans="2:7">
      <c r="B15" s="2">
        <v>14</v>
      </c>
      <c r="C15" s="2" t="str">
        <f ca="1">IFERROR(OFFSET(Assign!$B$181,MATCH($B15,Assign!$F$181:$F$208,0)-1,0),"")</f>
        <v/>
      </c>
      <c r="D15" s="18" t="str">
        <f ca="1">IFERROR(OFFSET(Assign!$C$181,MATCH($B15,Assign!$F$181:$F$208,0)-1,0),"")</f>
        <v/>
      </c>
    </row>
    <row r="16" spans="2:7">
      <c r="B16" s="2">
        <v>15</v>
      </c>
      <c r="C16" s="2" t="str">
        <f ca="1">IFERROR(OFFSET(Assign!$B$181,MATCH($B16,Assign!$F$181:$F$208,0)-1,0),"")</f>
        <v/>
      </c>
      <c r="D16" s="18" t="str">
        <f ca="1">IFERROR(OFFSET(Assign!$C$181,MATCH($B16,Assign!$F$181:$F$208,0)-1,0),"")</f>
        <v/>
      </c>
    </row>
    <row r="17" spans="2:4">
      <c r="B17" s="2">
        <v>16</v>
      </c>
      <c r="C17" s="2" t="str">
        <f ca="1">IFERROR(OFFSET(Assign!$B$181,MATCH($B17,Assign!$F$181:$F$208,0)-1,0),"")</f>
        <v/>
      </c>
      <c r="D17" s="18" t="str">
        <f ca="1">IFERROR(OFFSET(Assign!$C$181,MATCH($B17,Assign!$F$181:$F$208,0)-1,0),"")</f>
        <v/>
      </c>
    </row>
    <row r="18" spans="2:4">
      <c r="B18" s="2">
        <v>17</v>
      </c>
      <c r="C18" s="2" t="str">
        <f ca="1">IFERROR(OFFSET(Assign!$B$181,MATCH($B18,Assign!$F$181:$F$208,0)-1,0),"")</f>
        <v/>
      </c>
      <c r="D18" s="18" t="str">
        <f ca="1">IFERROR(OFFSET(Assign!$C$181,MATCH($B18,Assign!$F$181:$F$208,0)-1,0),"")</f>
        <v/>
      </c>
    </row>
    <row r="19" spans="2:4">
      <c r="B19" s="2">
        <v>18</v>
      </c>
      <c r="C19" s="2" t="str">
        <f ca="1">IFERROR(OFFSET(Assign!$B$181,MATCH($B19,Assign!$F$181:$F$208,0)-1,0),"")</f>
        <v/>
      </c>
      <c r="D19" s="18" t="str">
        <f ca="1">IFERROR(OFFSET(Assign!$C$181,MATCH($B19,Assign!$F$181:$F$208,0)-1,0),"")</f>
        <v/>
      </c>
    </row>
    <row r="20" spans="2:4">
      <c r="B20" s="2">
        <v>19</v>
      </c>
      <c r="C20" s="2" t="str">
        <f ca="1">IFERROR(OFFSET(Assign!$B$181,MATCH($B20,Assign!$F$181:$F$208,0)-1,0),"")</f>
        <v/>
      </c>
      <c r="D20" s="18" t="str">
        <f ca="1">IFERROR(OFFSET(Assign!$C$181,MATCH($B20,Assign!$F$181:$F$208,0)-1,0),"")</f>
        <v/>
      </c>
    </row>
    <row r="21" spans="2:4">
      <c r="B21" s="2">
        <v>20</v>
      </c>
      <c r="C21" s="2" t="str">
        <f ca="1">IFERROR(OFFSET(Assign!$B$181,MATCH($B21,Assign!$F$181:$F$208,0)-1,0),"")</f>
        <v/>
      </c>
      <c r="D21" s="18" t="str">
        <f ca="1">IFERROR(OFFSET(Assign!$C$181,MATCH($B21,Assign!$F$181:$F$208,0)-1,0),"")</f>
        <v/>
      </c>
    </row>
    <row r="22" spans="2:4">
      <c r="B22" s="2">
        <v>21</v>
      </c>
      <c r="C22" s="2" t="str">
        <f ca="1">IFERROR(OFFSET(Assign!$B$181,MATCH($B22,Assign!$F$181:$F$208,0)-1,0),"")</f>
        <v/>
      </c>
      <c r="D22" s="18" t="str">
        <f ca="1">IFERROR(OFFSET(Assign!$C$181,MATCH($B22,Assign!$F$181:$F$208,0)-1,0),"")</f>
        <v/>
      </c>
    </row>
    <row r="23" spans="2:4">
      <c r="B23" s="2">
        <v>22</v>
      </c>
      <c r="C23" s="2" t="str">
        <f ca="1">IFERROR(OFFSET(Assign!$B$181,MATCH($B23,Assign!$F$181:$F$208,0)-1,0),"")</f>
        <v/>
      </c>
      <c r="D23" s="18" t="str">
        <f ca="1">IFERROR(OFFSET(Assign!$C$181,MATCH($B23,Assign!$F$181:$F$208,0)-1,0),"")</f>
        <v/>
      </c>
    </row>
    <row r="24" spans="2:4">
      <c r="B24" s="2">
        <v>23</v>
      </c>
      <c r="C24" s="2" t="str">
        <f ca="1">IFERROR(OFFSET(Assign!$B$181,MATCH($B24,Assign!$F$181:$F$208,0)-1,0),"")</f>
        <v/>
      </c>
      <c r="D24" s="18" t="str">
        <f ca="1">IFERROR(OFFSET(Assign!$C$181,MATCH($B24,Assign!$F$181:$F$208,0)-1,0),"")</f>
        <v/>
      </c>
    </row>
    <row r="25" spans="2:4">
      <c r="B25" s="2">
        <v>24</v>
      </c>
      <c r="C25" s="2" t="str">
        <f ca="1">IFERROR(OFFSET(Assign!$B$181,MATCH($B25,Assign!$F$181:$F$208,0)-1,0),"")</f>
        <v/>
      </c>
      <c r="D25" s="18" t="str">
        <f ca="1">IFERROR(OFFSET(Assign!$C$181,MATCH($B25,Assign!$F$181:$F$208,0)-1,0),"")</f>
        <v/>
      </c>
    </row>
    <row r="26" spans="2:4">
      <c r="B26" s="2">
        <v>25</v>
      </c>
      <c r="C26" s="2" t="str">
        <f ca="1">IFERROR(OFFSET(Assign!$B$181,MATCH($B26,Assign!$F$181:$F$208,0)-1,0),"")</f>
        <v/>
      </c>
      <c r="D26" s="18" t="str">
        <f ca="1">IFERROR(OFFSET(Assign!$C$181,MATCH($B26,Assign!$F$181:$F$208,0)-1,0),"")</f>
        <v/>
      </c>
    </row>
    <row r="27" spans="2:4">
      <c r="B27" s="2">
        <v>26</v>
      </c>
      <c r="C27" s="2" t="str">
        <f ca="1">IFERROR(OFFSET(Assign!$B$181,MATCH($B27,Assign!$F$181:$F$208,0)-1,0),"")</f>
        <v/>
      </c>
      <c r="D27" s="18" t="str">
        <f ca="1">IFERROR(OFFSET(Assign!$C$181,MATCH($B27,Assign!$F$181:$F$208,0)-1,0),"")</f>
        <v/>
      </c>
    </row>
    <row r="28" spans="2:4">
      <c r="B28" s="2">
        <v>27</v>
      </c>
      <c r="C28" s="2" t="str">
        <f ca="1">IFERROR(OFFSET(Assign!$B$181,MATCH($B28,Assign!$F$181:$F$208,0)-1,0),"")</f>
        <v/>
      </c>
      <c r="D28" s="18" t="str">
        <f ca="1">IFERROR(OFFSET(Assign!$C$181,MATCH($B28,Assign!$F$181:$F$208,0)-1,0),"")</f>
        <v/>
      </c>
    </row>
    <row r="29" spans="2:4">
      <c r="B29" s="2">
        <v>28</v>
      </c>
      <c r="C29" s="2" t="str">
        <f ca="1">IFERROR(OFFSET(Assign!$B$181,MATCH($B29,Assign!$F$181:$F$208,0)-1,0),"")</f>
        <v/>
      </c>
      <c r="D29" s="18" t="str">
        <f ca="1">IFERROR(OFFSET(Assign!$C$181,MATCH($B29,Assign!$F$181:$F$208,0)-1,0),"")</f>
        <v/>
      </c>
    </row>
    <row r="30" spans="2:4">
      <c r="B30" s="2">
        <v>29</v>
      </c>
      <c r="C30" s="2" t="str">
        <f ca="1">IFERROR(OFFSET(Assign!$B$181,MATCH($B30,Assign!$F$181:$F$208,0)-1,0),"")</f>
        <v/>
      </c>
      <c r="D30" s="18" t="str">
        <f ca="1">IFERROR(OFFSET(Assign!$C$181,MATCH($B30,Assign!$F$181:$F$208,0)-1,0),"")</f>
        <v/>
      </c>
    </row>
    <row r="31" spans="2:4">
      <c r="B31" s="2">
        <v>30</v>
      </c>
      <c r="C31" s="2" t="str">
        <f ca="1">IFERROR(OFFSET(Assign!$B$181,MATCH($B31,Assign!$F$181:$F$208,0)-1,0),"")</f>
        <v/>
      </c>
      <c r="D31" s="18" t="str">
        <f ca="1">IFERROR(OFFSET(Assign!$C$181,MATCH($B31,Assign!$F$181:$F$208,0)-1,0),"")</f>
        <v/>
      </c>
    </row>
    <row r="32" spans="2:4">
      <c r="B32" s="2">
        <v>31</v>
      </c>
      <c r="C32" s="2" t="str">
        <f ca="1">IFERROR(OFFSET(Assign!$B$181,MATCH($B32,Assign!$F$181:$F$208,0)-1,0),"")</f>
        <v/>
      </c>
      <c r="D32" s="18" t="str">
        <f ca="1">IFERROR(OFFSET(Assign!$C$181,MATCH($B32,Assign!$F$181:$F$208,0)-1,0),"")</f>
        <v/>
      </c>
    </row>
    <row r="33" spans="2:4">
      <c r="B33" s="2">
        <v>32</v>
      </c>
      <c r="C33" s="2" t="str">
        <f ca="1">IFERROR(OFFSET(Assign!$B$181,MATCH($B33,Assign!$F$181:$F$208,0)-1,0),"")</f>
        <v/>
      </c>
      <c r="D33" s="18" t="str">
        <f ca="1">IFERROR(OFFSET(Assign!$C$181,MATCH($B33,Assign!$F$181:$F$208,0)-1,0),"")</f>
        <v/>
      </c>
    </row>
    <row r="34" spans="2:4">
      <c r="B34" s="2">
        <v>33</v>
      </c>
      <c r="C34" s="2" t="str">
        <f ca="1">IFERROR(OFFSET(Assign!$B$181,MATCH($B34,Assign!$F$181:$F$208,0)-1,0),"")</f>
        <v/>
      </c>
      <c r="D34" s="18" t="str">
        <f ca="1">IFERROR(OFFSET(Assign!$C$181,MATCH($B34,Assign!$F$181:$F$208,0)-1,0),"")</f>
        <v/>
      </c>
    </row>
    <row r="35" spans="2:4">
      <c r="B35" s="2">
        <v>34</v>
      </c>
      <c r="C35" s="2" t="str">
        <f ca="1">IFERROR(OFFSET(Assign!$B$181,MATCH($B35,Assign!$F$181:$F$208,0)-1,0),"")</f>
        <v/>
      </c>
      <c r="D35" s="18" t="str">
        <f ca="1">IFERROR(OFFSET(Assign!$C$181,MATCH($B35,Assign!$F$181:$F$208,0)-1,0),"")</f>
        <v/>
      </c>
    </row>
    <row r="36" spans="2:4">
      <c r="B36" s="2">
        <v>35</v>
      </c>
      <c r="C36" s="2" t="str">
        <f ca="1">IFERROR(OFFSET(Assign!$B$181,MATCH($B36,Assign!$F$181:$F$208,0)-1,0),"")</f>
        <v/>
      </c>
      <c r="D36" s="18" t="str">
        <f ca="1">IFERROR(OFFSET(Assign!$C$181,MATCH($B36,Assign!$F$181:$F$208,0)-1,0),"")</f>
        <v/>
      </c>
    </row>
    <row r="37" spans="2:4">
      <c r="B37" s="2">
        <v>36</v>
      </c>
      <c r="C37" s="2" t="str">
        <f ca="1">IFERROR(OFFSET(Assign!$B$181,MATCH($B37,Assign!$F$181:$F$208,0)-1,0),"")</f>
        <v/>
      </c>
      <c r="D37" s="18" t="str">
        <f ca="1">IFERROR(OFFSET(Assign!$C$181,MATCH($B37,Assign!$F$181:$F$208,0)-1,0),"")</f>
        <v/>
      </c>
    </row>
    <row r="38" spans="2:4">
      <c r="B38" s="2">
        <v>37</v>
      </c>
      <c r="C38" s="2" t="str">
        <f ca="1">IFERROR(OFFSET(Assign!$B$181,MATCH($B38,Assign!$F$181:$F$208,0)-1,0),"")</f>
        <v/>
      </c>
      <c r="D38" s="18" t="str">
        <f ca="1">IFERROR(OFFSET(Assign!$C$181,MATCH($B38,Assign!$F$181:$F$208,0)-1,0),"")</f>
        <v/>
      </c>
    </row>
    <row r="39" spans="2:4">
      <c r="B39" s="2">
        <v>38</v>
      </c>
      <c r="C39" s="2" t="str">
        <f ca="1">IFERROR(OFFSET(Assign!$B$181,MATCH($B39,Assign!$F$181:$F$208,0)-1,0),"")</f>
        <v/>
      </c>
      <c r="D39" s="18" t="str">
        <f ca="1">IFERROR(OFFSET(Assign!$C$181,MATCH($B39,Assign!$F$181:$F$208,0)-1,0),"")</f>
        <v/>
      </c>
    </row>
    <row r="40" spans="2:4">
      <c r="B40" s="2">
        <v>39</v>
      </c>
      <c r="C40" s="2" t="str">
        <f ca="1">IFERROR(OFFSET(Assign!$B$181,MATCH($B40,Assign!$F$181:$F$208,0)-1,0),"")</f>
        <v/>
      </c>
      <c r="D40" s="18" t="str">
        <f ca="1">IFERROR(OFFSET(Assign!$C$181,MATCH($B40,Assign!$F$181:$F$208,0)-1,0),"")</f>
        <v/>
      </c>
    </row>
    <row r="41" spans="2:4">
      <c r="B41" s="2">
        <v>40</v>
      </c>
      <c r="C41" s="2" t="str">
        <f ca="1">IFERROR(OFFSET(Assign!$B$181,MATCH($B41,Assign!$F$181:$F$208,0)-1,0),"")</f>
        <v/>
      </c>
      <c r="D41" s="18" t="str">
        <f ca="1">IFERROR(OFFSET(Assign!$C$181,MATCH($B41,Assign!$F$181:$F$208,0)-1,0),"")</f>
        <v/>
      </c>
    </row>
    <row r="42" spans="2:4">
      <c r="B42" s="2">
        <v>41</v>
      </c>
      <c r="C42" s="2" t="str">
        <f ca="1">IFERROR(OFFSET(Assign!$B$181,MATCH($B42,Assign!$F$181:$F$208,0)-1,0),"")</f>
        <v/>
      </c>
      <c r="D42" s="18" t="str">
        <f ca="1">IFERROR(OFFSET(Assign!$C$181,MATCH($B42,Assign!$F$181:$F$208,0)-1,0),"")</f>
        <v/>
      </c>
    </row>
    <row r="43" spans="2:4">
      <c r="B43" s="2">
        <v>42</v>
      </c>
      <c r="C43" s="2" t="str">
        <f ca="1">IFERROR(OFFSET(Assign!$B$181,MATCH($B43,Assign!$F$181:$F$208,0)-1,0),"")</f>
        <v/>
      </c>
      <c r="D43" s="18" t="str">
        <f ca="1">IFERROR(OFFSET(Assign!$C$181,MATCH($B43,Assign!$F$181:$F$208,0)-1,0),"")</f>
        <v/>
      </c>
    </row>
    <row r="44" spans="2:4">
      <c r="B44" s="2">
        <v>43</v>
      </c>
      <c r="C44" s="2" t="str">
        <f ca="1">IFERROR(OFFSET(Assign!$B$181,MATCH($B44,Assign!$F$181:$F$208,0)-1,0),"")</f>
        <v/>
      </c>
      <c r="D44" s="18" t="str">
        <f ca="1">IFERROR(OFFSET(Assign!$C$181,MATCH($B44,Assign!$F$181:$F$208,0)-1,0),"")</f>
        <v/>
      </c>
    </row>
    <row r="45" spans="2:4">
      <c r="B45" s="2">
        <v>44</v>
      </c>
      <c r="C45" s="2" t="str">
        <f ca="1">IFERROR(OFFSET(Assign!$B$181,MATCH($B45,Assign!$F$181:$F$208,0)-1,0),"")</f>
        <v/>
      </c>
      <c r="D45" s="18" t="str">
        <f ca="1">IFERROR(OFFSET(Assign!$C$181,MATCH($B45,Assign!$F$181:$F$208,0)-1,0),"")</f>
        <v/>
      </c>
    </row>
    <row r="46" spans="2:4">
      <c r="B46" s="2">
        <v>45</v>
      </c>
      <c r="C46" s="2" t="str">
        <f ca="1">IFERROR(OFFSET(Assign!$B$181,MATCH($B46,Assign!$F$181:$F$208,0)-1,0),"")</f>
        <v/>
      </c>
      <c r="D46" s="18" t="str">
        <f ca="1">IFERROR(OFFSET(Assign!$C$181,MATCH($B46,Assign!$F$181:$F$208,0)-1,0),"")</f>
        <v/>
      </c>
    </row>
    <row r="47" spans="2:4">
      <c r="B47" s="2">
        <v>46</v>
      </c>
      <c r="C47" s="2" t="str">
        <f ca="1">IFERROR(OFFSET(Assign!$B$181,MATCH($B47,Assign!$F$181:$F$208,0)-1,0),"")</f>
        <v/>
      </c>
      <c r="D47" s="18" t="str">
        <f ca="1">IFERROR(OFFSET(Assign!$C$181,MATCH($B47,Assign!$F$181:$F$208,0)-1,0),"")</f>
        <v/>
      </c>
    </row>
    <row r="48" spans="2:4">
      <c r="B48" s="2">
        <v>47</v>
      </c>
      <c r="C48" s="2" t="str">
        <f ca="1">IFERROR(OFFSET(Assign!$B$181,MATCH($B48,Assign!$F$181:$F$208,0)-1,0),"")</f>
        <v/>
      </c>
      <c r="D48" s="18" t="str">
        <f ca="1">IFERROR(OFFSET(Assign!$C$181,MATCH($B48,Assign!$F$181:$F$208,0)-1,0),"")</f>
        <v/>
      </c>
    </row>
    <row r="49" spans="2:4">
      <c r="B49" s="2">
        <v>48</v>
      </c>
      <c r="C49" s="2" t="str">
        <f ca="1">IFERROR(OFFSET(Assign!$B$181,MATCH($B49,Assign!$F$181:$F$208,0)-1,0),"")</f>
        <v/>
      </c>
      <c r="D49" s="18" t="str">
        <f ca="1">IFERROR(OFFSET(Assign!$C$181,MATCH($B49,Assign!$F$181:$F$208,0)-1,0),"")</f>
        <v/>
      </c>
    </row>
    <row r="50" spans="2:4">
      <c r="B50" s="2">
        <v>49</v>
      </c>
      <c r="C50" s="2" t="str">
        <f ca="1">IFERROR(OFFSET(Assign!$B$181,MATCH($B50,Assign!$F$181:$F$208,0)-1,0),"")</f>
        <v/>
      </c>
      <c r="D50" s="18" t="str">
        <f ca="1">IFERROR(OFFSET(Assign!$C$181,MATCH($B50,Assign!$F$181:$F$208,0)-1,0),"")</f>
        <v/>
      </c>
    </row>
    <row r="51" spans="2:4">
      <c r="B51" s="2">
        <v>50</v>
      </c>
      <c r="C51" s="2" t="str">
        <f ca="1">IFERROR(OFFSET(Assign!$B$181,MATCH($B51,Assign!$F$181:$F$208,0)-1,0),"")</f>
        <v/>
      </c>
      <c r="D51" s="18" t="str">
        <f ca="1">IFERROR(OFFSET(Assign!$C$181,MATCH($B51,Assign!$F$181:$F$208,0)-1,0),"")</f>
        <v/>
      </c>
    </row>
    <row r="52" spans="2:4">
      <c r="B52" s="2">
        <v>51</v>
      </c>
      <c r="C52" s="2" t="str">
        <f ca="1">IFERROR(OFFSET(Assign!$B$181,MATCH($B52,Assign!$F$181:$F$208,0)-1,0),"")</f>
        <v/>
      </c>
      <c r="D52" s="18" t="str">
        <f ca="1">IFERROR(OFFSET(Assign!$C$181,MATCH($B52,Assign!$F$181:$F$208,0)-1,0),"")</f>
        <v/>
      </c>
    </row>
    <row r="53" spans="2:4">
      <c r="B53" s="2">
        <v>52</v>
      </c>
      <c r="C53" s="2" t="str">
        <f ca="1">IFERROR(OFFSET(Assign!$B$181,MATCH($B53,Assign!$F$181:$F$208,0)-1,0),"")</f>
        <v/>
      </c>
      <c r="D53" s="18" t="str">
        <f ca="1">IFERROR(OFFSET(Assign!$C$181,MATCH($B53,Assign!$F$181:$F$208,0)-1,0),"")</f>
        <v/>
      </c>
    </row>
    <row r="54" spans="2:4">
      <c r="B54" s="2">
        <v>53</v>
      </c>
      <c r="C54" s="2" t="str">
        <f ca="1">IFERROR(OFFSET(Assign!$B$181,MATCH($B54,Assign!$F$181:$F$208,0)-1,0),"")</f>
        <v/>
      </c>
      <c r="D54" s="18" t="str">
        <f ca="1">IFERROR(OFFSET(Assign!$C$181,MATCH($B54,Assign!$F$181:$F$208,0)-1,0),"")</f>
        <v/>
      </c>
    </row>
    <row r="55" spans="2:4">
      <c r="B55" s="2">
        <v>54</v>
      </c>
      <c r="C55" s="2" t="str">
        <f ca="1">IFERROR(OFFSET(Assign!$B$181,MATCH($B55,Assign!$F$181:$F$208,0)-1,0),"")</f>
        <v/>
      </c>
      <c r="D55" s="18" t="str">
        <f ca="1">IFERROR(OFFSET(Assign!$C$181,MATCH($B55,Assign!$F$181:$F$208,0)-1,0),"")</f>
        <v/>
      </c>
    </row>
    <row r="56" spans="2:4">
      <c r="B56" s="2">
        <v>55</v>
      </c>
      <c r="C56" s="2" t="str">
        <f ca="1">IFERROR(OFFSET(Assign!$B$181,MATCH($B56,Assign!$F$181:$F$208,0)-1,0),"")</f>
        <v/>
      </c>
      <c r="D56" s="18" t="str">
        <f ca="1">IFERROR(OFFSET(Assign!$C$181,MATCH($B56,Assign!$F$181:$F$208,0)-1,0),"")</f>
        <v/>
      </c>
    </row>
    <row r="57" spans="2:4">
      <c r="B57" s="2">
        <v>56</v>
      </c>
      <c r="C57" s="2" t="str">
        <f ca="1">IFERROR(OFFSET(Assign!$B$181,MATCH($B57,Assign!$F$181:$F$208,0)-1,0),"")</f>
        <v/>
      </c>
      <c r="D57" s="18" t="str">
        <f ca="1">IFERROR(OFFSET(Assign!$C$181,MATCH($B57,Assign!$F$181:$F$208,0)-1,0),"")</f>
        <v/>
      </c>
    </row>
    <row r="58" spans="2:4">
      <c r="B58" s="2">
        <v>57</v>
      </c>
      <c r="C58" s="2" t="str">
        <f ca="1">IFERROR(OFFSET(Assign!$B$181,MATCH($B58,Assign!$F$181:$F$208,0)-1,0),"")</f>
        <v/>
      </c>
      <c r="D58" s="18" t="str">
        <f ca="1">IFERROR(OFFSET(Assign!$C$181,MATCH($B58,Assign!$F$181:$F$208,0)-1,0),"")</f>
        <v/>
      </c>
    </row>
    <row r="59" spans="2:4">
      <c r="B59" s="2">
        <v>58</v>
      </c>
      <c r="C59" s="2" t="str">
        <f ca="1">IFERROR(OFFSET(Assign!$B$181,MATCH($B59,Assign!$F$181:$F$208,0)-1,0),"")</f>
        <v/>
      </c>
      <c r="D59" s="18" t="str">
        <f ca="1">IFERROR(OFFSET(Assign!$C$181,MATCH($B59,Assign!$F$181:$F$208,0)-1,0),"")</f>
        <v/>
      </c>
    </row>
    <row r="60" spans="2:4">
      <c r="B60" s="2">
        <v>59</v>
      </c>
      <c r="C60" s="2" t="str">
        <f ca="1">IFERROR(OFFSET(Assign!$B$181,MATCH($B60,Assign!$F$181:$F$208,0)-1,0),"")</f>
        <v/>
      </c>
      <c r="D60" s="18" t="str">
        <f ca="1">IFERROR(OFFSET(Assign!$C$181,MATCH($B60,Assign!$F$181:$F$208,0)-1,0),"")</f>
        <v/>
      </c>
    </row>
    <row r="61" spans="2:4">
      <c r="B61" s="2">
        <v>60</v>
      </c>
      <c r="C61" s="2" t="str">
        <f ca="1">IFERROR(OFFSET(Assign!$B$181,MATCH($B61,Assign!$F$181:$F$208,0)-1,0),"")</f>
        <v/>
      </c>
      <c r="D61" s="18" t="str">
        <f ca="1">IFERROR(OFFSET(Assign!$C$181,MATCH($B61,Assign!$F$181:$F$208,0)-1,0),"")</f>
        <v/>
      </c>
    </row>
    <row r="62" spans="2:4">
      <c r="B62" s="2">
        <v>61</v>
      </c>
      <c r="C62" s="2" t="str">
        <f ca="1">IFERROR(OFFSET(Assign!$B$181,MATCH($B62,Assign!$F$181:$F$208,0)-1,0),"")</f>
        <v/>
      </c>
      <c r="D62" s="18" t="str">
        <f ca="1">IFERROR(OFFSET(Assign!$C$181,MATCH($B62,Assign!$F$181:$F$208,0)-1,0),"")</f>
        <v/>
      </c>
    </row>
    <row r="63" spans="2:4">
      <c r="B63" s="2">
        <v>62</v>
      </c>
      <c r="C63" s="2" t="str">
        <f ca="1">IFERROR(OFFSET(Assign!$B$181,MATCH($B63,Assign!$F$181:$F$208,0)-1,0),"")</f>
        <v/>
      </c>
      <c r="D63" s="18" t="str">
        <f ca="1">IFERROR(OFFSET(Assign!$C$181,MATCH($B63,Assign!$F$181:$F$208,0)-1,0),"")</f>
        <v/>
      </c>
    </row>
    <row r="64" spans="2:4">
      <c r="B64" s="2">
        <v>63</v>
      </c>
      <c r="C64" s="2" t="str">
        <f ca="1">IFERROR(OFFSET(Assign!$B$181,MATCH($B64,Assign!$F$181:$F$208,0)-1,0),"")</f>
        <v/>
      </c>
      <c r="D64" s="18" t="str">
        <f ca="1">IFERROR(OFFSET(Assign!$C$181,MATCH($B64,Assign!$F$181:$F$208,0)-1,0),"")</f>
        <v/>
      </c>
    </row>
    <row r="65" spans="2:4">
      <c r="B65" s="2">
        <v>64</v>
      </c>
      <c r="C65" s="2" t="str">
        <f ca="1">IFERROR(OFFSET(Assign!$B$181,MATCH($B65,Assign!$F$181:$F$208,0)-1,0),"")</f>
        <v/>
      </c>
      <c r="D65" s="18" t="str">
        <f ca="1">IFERROR(OFFSET(Assign!$C$181,MATCH($B65,Assign!$F$181:$F$208,0)-1,0),"")</f>
        <v/>
      </c>
    </row>
    <row r="66" spans="2:4">
      <c r="B66" s="2">
        <v>65</v>
      </c>
      <c r="C66" s="2" t="str">
        <f ca="1">IFERROR(OFFSET(Assign!$B$181,MATCH($B66,Assign!$F$181:$F$208,0)-1,0),"")</f>
        <v/>
      </c>
      <c r="D66" s="18" t="str">
        <f ca="1">IFERROR(OFFSET(Assign!$C$181,MATCH($B66,Assign!$F$181:$F$208,0)-1,0),"")</f>
        <v/>
      </c>
    </row>
    <row r="67" spans="2:4">
      <c r="B67" s="2">
        <v>66</v>
      </c>
      <c r="C67" s="2" t="str">
        <f ca="1">IFERROR(OFFSET(Assign!$B$181,MATCH($B67,Assign!$F$181:$F$208,0)-1,0),"")</f>
        <v/>
      </c>
      <c r="D67" s="18" t="str">
        <f ca="1">IFERROR(OFFSET(Assign!$C$181,MATCH($B67,Assign!$F$181:$F$208,0)-1,0),"")</f>
        <v/>
      </c>
    </row>
    <row r="68" spans="2:4">
      <c r="B68" s="2">
        <v>67</v>
      </c>
      <c r="C68" s="2" t="str">
        <f ca="1">IFERROR(OFFSET(Assign!$B$181,MATCH($B68,Assign!$F$181:$F$208,0)-1,0),"")</f>
        <v/>
      </c>
      <c r="D68" s="18" t="str">
        <f ca="1">IFERROR(OFFSET(Assign!$C$181,MATCH($B68,Assign!$F$181:$F$208,0)-1,0),"")</f>
        <v/>
      </c>
    </row>
    <row r="69" spans="2:4">
      <c r="B69" s="2">
        <v>68</v>
      </c>
      <c r="C69" s="2" t="str">
        <f ca="1">IFERROR(OFFSET(Assign!$B$181,MATCH($B69,Assign!$F$181:$F$208,0)-1,0),"")</f>
        <v/>
      </c>
      <c r="D69" s="18" t="str">
        <f ca="1">IFERROR(OFFSET(Assign!$C$181,MATCH($B69,Assign!$F$181:$F$208,0)-1,0),"")</f>
        <v/>
      </c>
    </row>
    <row r="70" spans="2:4">
      <c r="B70" s="2">
        <v>69</v>
      </c>
      <c r="C70" s="2" t="str">
        <f ca="1">IFERROR(OFFSET(Assign!$B$181,MATCH($B70,Assign!$F$181:$F$208,0)-1,0),"")</f>
        <v/>
      </c>
      <c r="D70" s="18" t="str">
        <f ca="1">IFERROR(OFFSET(Assign!$C$181,MATCH($B70,Assign!$F$181:$F$208,0)-1,0),"")</f>
        <v/>
      </c>
    </row>
    <row r="71" spans="2:4">
      <c r="B71" s="2">
        <v>70</v>
      </c>
      <c r="C71" s="2" t="str">
        <f ca="1">IFERROR(OFFSET(Assign!$B$181,MATCH($B71,Assign!$F$181:$F$208,0)-1,0),"")</f>
        <v/>
      </c>
      <c r="D71" s="18" t="str">
        <f ca="1">IFERROR(OFFSET(Assign!$C$181,MATCH($B71,Assign!$F$181:$F$208,0)-1,0),"")</f>
        <v/>
      </c>
    </row>
    <row r="72" spans="2:4">
      <c r="B72" s="2">
        <v>71</v>
      </c>
      <c r="C72" s="2" t="str">
        <f ca="1">IFERROR(OFFSET(Assign!$B$181,MATCH($B72,Assign!$F$181:$F$208,0)-1,0),"")</f>
        <v/>
      </c>
      <c r="D72" s="18" t="str">
        <f ca="1">IFERROR(OFFSET(Assign!$C$181,MATCH($B72,Assign!$F$181:$F$208,0)-1,0),"")</f>
        <v/>
      </c>
    </row>
    <row r="73" spans="2:4">
      <c r="B73" s="2">
        <v>72</v>
      </c>
      <c r="C73" s="2" t="str">
        <f ca="1">IFERROR(OFFSET(Assign!$B$181,MATCH($B73,Assign!$F$181:$F$208,0)-1,0),"")</f>
        <v/>
      </c>
      <c r="D73" s="18" t="str">
        <f ca="1">IFERROR(OFFSET(Assign!$C$181,MATCH($B73,Assign!$F$181:$F$208,0)-1,0),"")</f>
        <v/>
      </c>
    </row>
    <row r="74" spans="2:4">
      <c r="B74" s="2">
        <v>73</v>
      </c>
      <c r="C74" s="2" t="str">
        <f ca="1">IFERROR(OFFSET(Assign!$B$181,MATCH($B74,Assign!$F$181:$F$208,0)-1,0),"")</f>
        <v/>
      </c>
      <c r="D74" s="18" t="str">
        <f ca="1">IFERROR(OFFSET(Assign!$C$181,MATCH($B74,Assign!$F$181:$F$208,0)-1,0),"")</f>
        <v/>
      </c>
    </row>
    <row r="75" spans="2:4">
      <c r="B75" s="2">
        <v>74</v>
      </c>
      <c r="C75" s="2" t="str">
        <f ca="1">IFERROR(OFFSET(Assign!$B$181,MATCH($B75,Assign!$F$181:$F$208,0)-1,0),"")</f>
        <v/>
      </c>
      <c r="D75" s="18" t="str">
        <f ca="1">IFERROR(OFFSET(Assign!$C$181,MATCH($B75,Assign!$F$181:$F$208,0)-1,0),"")</f>
        <v/>
      </c>
    </row>
    <row r="76" spans="2:4">
      <c r="B76" s="2">
        <v>75</v>
      </c>
      <c r="C76" s="2" t="str">
        <f ca="1">IFERROR(OFFSET(Assign!$B$181,MATCH($B76,Assign!$F$181:$F$208,0)-1,0),"")</f>
        <v/>
      </c>
      <c r="D76" s="18" t="str">
        <f ca="1">IFERROR(OFFSET(Assign!$C$181,MATCH($B76,Assign!$F$181:$F$208,0)-1,0),"")</f>
        <v/>
      </c>
    </row>
    <row r="77" spans="2:4">
      <c r="B77" s="2">
        <v>76</v>
      </c>
      <c r="C77" s="2" t="str">
        <f ca="1">IFERROR(OFFSET(Assign!$B$181,MATCH($B77,Assign!$F$181:$F$208,0)-1,0),"")</f>
        <v/>
      </c>
      <c r="D77" s="18" t="str">
        <f ca="1">IFERROR(OFFSET(Assign!$C$181,MATCH($B77,Assign!$F$181:$F$208,0)-1,0),"")</f>
        <v/>
      </c>
    </row>
    <row r="78" spans="2:4">
      <c r="B78" s="2">
        <v>77</v>
      </c>
      <c r="C78" s="2" t="str">
        <f ca="1">IFERROR(OFFSET(Assign!$B$181,MATCH($B78,Assign!$F$181:$F$208,0)-1,0),"")</f>
        <v/>
      </c>
      <c r="D78" s="18" t="str">
        <f ca="1">IFERROR(OFFSET(Assign!$C$181,MATCH($B78,Assign!$F$181:$F$208,0)-1,0),"")</f>
        <v/>
      </c>
    </row>
    <row r="79" spans="2:4">
      <c r="B79" s="2">
        <v>78</v>
      </c>
      <c r="C79" s="2" t="str">
        <f ca="1">IFERROR(OFFSET(Assign!$B$181,MATCH($B79,Assign!$F$181:$F$208,0)-1,0),"")</f>
        <v/>
      </c>
      <c r="D79" s="18" t="str">
        <f ca="1">IFERROR(OFFSET(Assign!$C$181,MATCH($B79,Assign!$F$181:$F$208,0)-1,0),"")</f>
        <v/>
      </c>
    </row>
    <row r="80" spans="2:4">
      <c r="B80" s="2">
        <v>79</v>
      </c>
      <c r="C80" s="2" t="str">
        <f ca="1">IFERROR(OFFSET(Assign!$B$181,MATCH($B80,Assign!$F$181:$F$208,0)-1,0),"")</f>
        <v/>
      </c>
      <c r="D80" s="18" t="str">
        <f ca="1">IFERROR(OFFSET(Assign!$C$181,MATCH($B80,Assign!$F$181:$F$208,0)-1,0),"")</f>
        <v/>
      </c>
    </row>
    <row r="81" spans="2:4">
      <c r="B81" s="2">
        <v>80</v>
      </c>
      <c r="C81" s="2" t="str">
        <f ca="1">IFERROR(OFFSET(Assign!$B$181,MATCH($B81,Assign!$F$181:$F$208,0)-1,0),"")</f>
        <v/>
      </c>
      <c r="D81" s="18" t="str">
        <f ca="1">IFERROR(OFFSET(Assign!$C$181,MATCH($B81,Assign!$F$181:$F$208,0)-1,0),"")</f>
        <v/>
      </c>
    </row>
    <row r="82" spans="2:4">
      <c r="B82" s="2">
        <v>81</v>
      </c>
      <c r="C82" s="2" t="str">
        <f ca="1">IFERROR(OFFSET(Assign!$B$181,MATCH($B82,Assign!$F$181:$F$208,0)-1,0),"")</f>
        <v/>
      </c>
      <c r="D82" s="18" t="str">
        <f ca="1">IFERROR(OFFSET(Assign!$C$181,MATCH($B82,Assign!$F$181:$F$208,0)-1,0),"")</f>
        <v/>
      </c>
    </row>
    <row r="83" spans="2:4">
      <c r="B83" s="2">
        <v>82</v>
      </c>
      <c r="C83" s="2" t="str">
        <f ca="1">IFERROR(OFFSET(Assign!$B$181,MATCH($B83,Assign!$F$181:$F$208,0)-1,0),"")</f>
        <v/>
      </c>
      <c r="D83" s="18" t="str">
        <f ca="1">IFERROR(OFFSET(Assign!$C$181,MATCH($B83,Assign!$F$181:$F$208,0)-1,0),"")</f>
        <v/>
      </c>
    </row>
    <row r="84" spans="2:4">
      <c r="B84" s="2">
        <v>83</v>
      </c>
      <c r="C84" s="2" t="str">
        <f ca="1">IFERROR(OFFSET(Assign!$B$181,MATCH($B84,Assign!$F$181:$F$208,0)-1,0),"")</f>
        <v/>
      </c>
      <c r="D84" s="18" t="str">
        <f ca="1">IFERROR(OFFSET(Assign!$C$181,MATCH($B84,Assign!$F$181:$F$208,0)-1,0),"")</f>
        <v/>
      </c>
    </row>
    <row r="85" spans="2:4">
      <c r="B85" s="2">
        <v>84</v>
      </c>
      <c r="C85" s="2" t="str">
        <f ca="1">IFERROR(OFFSET(Assign!$B$181,MATCH($B85,Assign!$F$181:$F$208,0)-1,0),"")</f>
        <v/>
      </c>
      <c r="D85" s="18" t="str">
        <f ca="1">IFERROR(OFFSET(Assign!$C$181,MATCH($B85,Assign!$F$181:$F$208,0)-1,0),"")</f>
        <v/>
      </c>
    </row>
    <row r="86" spans="2:4">
      <c r="B86" s="2">
        <v>85</v>
      </c>
      <c r="C86" s="2" t="str">
        <f ca="1">IFERROR(OFFSET(Assign!$B$181,MATCH($B86,Assign!$F$181:$F$208,0)-1,0),"")</f>
        <v/>
      </c>
      <c r="D86" s="18" t="str">
        <f ca="1">IFERROR(OFFSET(Assign!$C$181,MATCH($B86,Assign!$F$181:$F$208,0)-1,0),"")</f>
        <v/>
      </c>
    </row>
    <row r="87" spans="2:4">
      <c r="B87" s="2">
        <v>86</v>
      </c>
      <c r="C87" s="2" t="str">
        <f ca="1">IFERROR(OFFSET(Assign!$B$181,MATCH($B87,Assign!$F$181:$F$208,0)-1,0),"")</f>
        <v/>
      </c>
      <c r="D87" s="18" t="str">
        <f ca="1">IFERROR(OFFSET(Assign!$C$181,MATCH($B87,Assign!$F$181:$F$208,0)-1,0),"")</f>
        <v/>
      </c>
    </row>
    <row r="88" spans="2:4">
      <c r="B88" s="2">
        <v>87</v>
      </c>
      <c r="C88" s="2" t="str">
        <f ca="1">IFERROR(OFFSET(Assign!$B$181,MATCH($B88,Assign!$F$181:$F$208,0)-1,0),"")</f>
        <v/>
      </c>
      <c r="D88" s="18" t="str">
        <f ca="1">IFERROR(OFFSET(Assign!$C$181,MATCH($B88,Assign!$F$181:$F$208,0)-1,0),"")</f>
        <v/>
      </c>
    </row>
    <row r="89" spans="2:4">
      <c r="B89" s="2">
        <v>88</v>
      </c>
      <c r="C89" s="2" t="str">
        <f ca="1">IFERROR(OFFSET(Assign!$B$181,MATCH($B89,Assign!$F$181:$F$208,0)-1,0),"")</f>
        <v/>
      </c>
      <c r="D89" s="18" t="str">
        <f ca="1">IFERROR(OFFSET(Assign!$C$181,MATCH($B89,Assign!$F$181:$F$208,0)-1,0),"")</f>
        <v/>
      </c>
    </row>
    <row r="90" spans="2:4">
      <c r="B90" s="2">
        <v>89</v>
      </c>
      <c r="C90" s="2" t="str">
        <f ca="1">IFERROR(OFFSET(Assign!$B$181,MATCH($B90,Assign!$F$181:$F$208,0)-1,0),"")</f>
        <v/>
      </c>
      <c r="D90" s="18" t="str">
        <f ca="1">IFERROR(OFFSET(Assign!$C$181,MATCH($B90,Assign!$F$181:$F$208,0)-1,0),"")</f>
        <v/>
      </c>
    </row>
    <row r="91" spans="2:4">
      <c r="B91" s="2">
        <v>90</v>
      </c>
      <c r="C91" s="2" t="str">
        <f ca="1">IFERROR(OFFSET(Assign!$B$181,MATCH($B91,Assign!$F$181:$F$208,0)-1,0),"")</f>
        <v/>
      </c>
      <c r="D91" s="18" t="str">
        <f ca="1">IFERROR(OFFSET(Assign!$C$181,MATCH($B91,Assign!$F$181:$F$208,0)-1,0),"")</f>
        <v/>
      </c>
    </row>
    <row r="92" spans="2:4">
      <c r="B92" s="2">
        <v>91</v>
      </c>
      <c r="C92" s="2" t="str">
        <f ca="1">IFERROR(OFFSET(Assign!$B$181,MATCH($B92,Assign!$F$181:$F$208,0)-1,0),"")</f>
        <v/>
      </c>
      <c r="D92" s="18" t="str">
        <f ca="1">IFERROR(OFFSET(Assign!$C$181,MATCH($B92,Assign!$F$181:$F$208,0)-1,0),"")</f>
        <v/>
      </c>
    </row>
    <row r="93" spans="2:4">
      <c r="B93" s="2">
        <v>92</v>
      </c>
      <c r="C93" s="2" t="str">
        <f ca="1">IFERROR(OFFSET(Assign!$B$181,MATCH($B93,Assign!$F$181:$F$208,0)-1,0),"")</f>
        <v/>
      </c>
      <c r="D93" s="18" t="str">
        <f ca="1">IFERROR(OFFSET(Assign!$C$181,MATCH($B93,Assign!$F$181:$F$208,0)-1,0),"")</f>
        <v/>
      </c>
    </row>
    <row r="94" spans="2:4">
      <c r="B94" s="2">
        <v>93</v>
      </c>
      <c r="C94" s="2" t="str">
        <f ca="1">IFERROR(OFFSET(Assign!$B$181,MATCH($B94,Assign!$F$181:$F$208,0)-1,0),"")</f>
        <v/>
      </c>
      <c r="D94" s="18" t="str">
        <f ca="1">IFERROR(OFFSET(Assign!$C$181,MATCH($B94,Assign!$F$181:$F$208,0)-1,0),"")</f>
        <v/>
      </c>
    </row>
    <row r="95" spans="2:4">
      <c r="B95" s="2">
        <v>94</v>
      </c>
      <c r="C95" s="2" t="str">
        <f ca="1">IFERROR(OFFSET(Assign!$B$181,MATCH($B95,Assign!$F$181:$F$208,0)-1,0),"")</f>
        <v/>
      </c>
      <c r="D95" s="18" t="str">
        <f ca="1">IFERROR(OFFSET(Assign!$C$181,MATCH($B95,Assign!$F$181:$F$208,0)-1,0),"")</f>
        <v/>
      </c>
    </row>
    <row r="96" spans="2:4">
      <c r="B96" s="2">
        <v>95</v>
      </c>
      <c r="C96" s="2" t="str">
        <f ca="1">IFERROR(OFFSET(Assign!$B$181,MATCH($B96,Assign!$F$181:$F$208,0)-1,0),"")</f>
        <v/>
      </c>
      <c r="D96" s="18" t="str">
        <f ca="1">IFERROR(OFFSET(Assign!$C$181,MATCH($B96,Assign!$F$181:$F$208,0)-1,0),"")</f>
        <v/>
      </c>
    </row>
    <row r="97" spans="2:4">
      <c r="B97" s="2">
        <v>96</v>
      </c>
      <c r="C97" s="2" t="str">
        <f ca="1">IFERROR(OFFSET(Assign!$B$181,MATCH($B97,Assign!$F$181:$F$208,0)-1,0),"")</f>
        <v/>
      </c>
      <c r="D97" s="18" t="str">
        <f ca="1">IFERROR(OFFSET(Assign!$C$181,MATCH($B97,Assign!$F$181:$F$208,0)-1,0),"")</f>
        <v/>
      </c>
    </row>
    <row r="98" spans="2:4">
      <c r="B98" s="2">
        <v>97</v>
      </c>
      <c r="C98" s="2" t="str">
        <f ca="1">IFERROR(OFFSET(Assign!$B$181,MATCH($B98,Assign!$F$181:$F$208,0)-1,0),"")</f>
        <v/>
      </c>
      <c r="D98" s="18" t="str">
        <f ca="1">IFERROR(OFFSET(Assign!$C$181,MATCH($B98,Assign!$F$181:$F$208,0)-1,0),"")</f>
        <v/>
      </c>
    </row>
    <row r="99" spans="2:4">
      <c r="B99" s="2">
        <v>98</v>
      </c>
      <c r="C99" s="2" t="str">
        <f ca="1">IFERROR(OFFSET(Assign!$B$181,MATCH($B99,Assign!$F$181:$F$208,0)-1,0),"")</f>
        <v/>
      </c>
      <c r="D99" s="18" t="str">
        <f ca="1">IFERROR(OFFSET(Assign!$C$181,MATCH($B99,Assign!$F$181:$F$208,0)-1,0),"")</f>
        <v/>
      </c>
    </row>
    <row r="100" spans="2:4">
      <c r="B100" s="2">
        <v>99</v>
      </c>
      <c r="C100" s="2" t="str">
        <f ca="1">IFERROR(OFFSET(Assign!$B$181,MATCH($B100,Assign!$F$181:$F$208,0)-1,0),"")</f>
        <v/>
      </c>
      <c r="D100" s="18" t="str">
        <f ca="1">IFERROR(OFFSET(Assign!$C$181,MATCH($B100,Assign!$F$181:$F$208,0)-1,0),"")</f>
        <v/>
      </c>
    </row>
    <row r="101" spans="2:4">
      <c r="B101" s="2">
        <v>100</v>
      </c>
      <c r="C101" s="2" t="str">
        <f ca="1">IFERROR(OFFSET(Assign!$B$181,MATCH($B101,Assign!$F$181:$F$208,0)-1,0),"")</f>
        <v/>
      </c>
      <c r="D101" s="18" t="str">
        <f ca="1">IFERROR(OFFSET(Assign!$C$181,MATCH($B101,Assign!$F$181:$F$208,0)-1,0),"")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G101"/>
  <sheetViews>
    <sheetView workbookViewId="0">
      <selection activeCell="E18" sqref="E18"/>
    </sheetView>
  </sheetViews>
  <sheetFormatPr defaultColWidth="9" defaultRowHeight="12.75"/>
  <cols>
    <col min="1" max="2" width="9" style="2"/>
    <col min="3" max="3" width="7.875" style="2" customWidth="1"/>
    <col min="4" max="4" width="40.125" style="18" customWidth="1"/>
    <col min="5" max="5" width="20.625" style="2" customWidth="1"/>
    <col min="6" max="6" width="10.25" style="2" customWidth="1"/>
    <col min="7" max="7" width="36" style="2" customWidth="1"/>
    <col min="8" max="16384" width="9" style="2"/>
  </cols>
  <sheetData>
    <row r="1" spans="2:7">
      <c r="B1" s="2" t="s">
        <v>79</v>
      </c>
      <c r="C1" s="2" t="s">
        <v>84</v>
      </c>
      <c r="D1" s="18" t="s">
        <v>25</v>
      </c>
      <c r="E1" s="2" t="s">
        <v>83</v>
      </c>
      <c r="F1" s="2" t="s">
        <v>192</v>
      </c>
      <c r="G1" s="2" t="s">
        <v>82</v>
      </c>
    </row>
    <row r="2" spans="2:7" ht="25.5">
      <c r="B2" s="2">
        <v>1</v>
      </c>
      <c r="C2" s="2">
        <f ca="1">IFERROR(OFFSET(Assign!$B$210,MATCH($B2,Assign!$F$210:$F$249,0)-1,0),"")</f>
        <v>50</v>
      </c>
      <c r="D2" s="18" t="str">
        <f ca="1">IFERROR(OFFSET(Assign!$C$210,MATCH($B2,Assign!$F$210:$F$249,0)-1,0),"")</f>
        <v>GPIO13/ EPWM7_B/ CANB_RX/ EQEP1_INDEX/ SCIB_RX/ PMBUSA_ALERT/ FSIRXA_CLK</v>
      </c>
      <c r="E2" s="2" t="s">
        <v>207</v>
      </c>
      <c r="F2" s="2" t="s">
        <v>229</v>
      </c>
      <c r="G2" s="2" t="s">
        <v>251</v>
      </c>
    </row>
    <row r="3" spans="2:7" ht="25.5">
      <c r="B3" s="2">
        <v>2</v>
      </c>
      <c r="C3" s="2">
        <f ca="1">IFERROR(OFFSET(Assign!$B$210,MATCH($B3,Assign!$F$210:$F$249,0)-1,0),"")</f>
        <v>51</v>
      </c>
      <c r="D3" s="18" t="str">
        <f ca="1">IFERROR(OFFSET(Assign!$C$210,MATCH($B3,Assign!$F$210:$F$249,0)-1,0),"")</f>
        <v>GPIO12/ EPWM7_A/ CANB_TX/ EQEP1_STROBE/ SCIB_TX/ PMBUSA_CTL/ FSIRXA_D0</v>
      </c>
      <c r="E3" s="2" t="s">
        <v>208</v>
      </c>
      <c r="F3" s="2" t="s">
        <v>230</v>
      </c>
      <c r="G3" s="2" t="s">
        <v>252</v>
      </c>
    </row>
    <row r="4" spans="2:7" ht="25.5">
      <c r="B4" s="2">
        <v>3</v>
      </c>
      <c r="C4" s="2">
        <f ca="1">IFERROR(OFFSET(Assign!$B$210,MATCH($B4,Assign!$F$210:$F$249,0)-1,0),"")</f>
        <v>53</v>
      </c>
      <c r="D4" s="18" t="str">
        <f ca="1">IFERROR(OFFSET(Assign!$C$210,MATCH($B4,Assign!$F$210:$F$249,0)-1,0),"")</f>
        <v>GPIO33/ I2CA_SCL/ SPIB_STE/ OUTPUTXBAR4/ LINA_RX/ SD1_C3/ FSIRXA_CLK/ CANA_RX</v>
      </c>
      <c r="E4" s="2" t="s">
        <v>270</v>
      </c>
      <c r="F4" s="32" t="s">
        <v>229</v>
      </c>
      <c r="G4" s="32" t="s">
        <v>248</v>
      </c>
    </row>
    <row r="5" spans="2:7" ht="25.5">
      <c r="B5" s="2">
        <v>4</v>
      </c>
      <c r="C5" s="2">
        <f ca="1">IFERROR(OFFSET(Assign!$B$210,MATCH($B5,Assign!$F$210:$F$249,0)-1,0),"")</f>
        <v>57</v>
      </c>
      <c r="D5" s="18" t="str">
        <f ca="1">IFERROR(OFFSET(Assign!$C$210,MATCH($B5,Assign!$F$210:$F$249,0)-1,0),"")</f>
        <v>GPIO25/ OUTPUTXBAR2/ EQEP2_B/ SPIB_SOMI/ SD1_C1/ FSITXA_D1/ PMBUSA_SDA/ SCIA_RX</v>
      </c>
      <c r="E5" s="2" t="s">
        <v>209</v>
      </c>
      <c r="F5" s="2" t="s">
        <v>229</v>
      </c>
      <c r="G5" s="2" t="s">
        <v>253</v>
      </c>
    </row>
    <row r="6" spans="2:7" ht="25.5">
      <c r="B6" s="2">
        <v>5</v>
      </c>
      <c r="C6" s="2">
        <f ca="1">IFERROR(OFFSET(Assign!$B$210,MATCH($B6,Assign!$F$210:$F$249,0)-1,0),"")</f>
        <v>58</v>
      </c>
      <c r="D6" s="18" t="str">
        <f ca="1">IFERROR(OFFSET(Assign!$C$210,MATCH($B6,Assign!$F$210:$F$249,0)-1,0),"")</f>
        <v>GPIO26/ OUTPUTXBAR3/ EQEP2_INDEX/ SPIB_CLK/ SD1_D2/ FSITXA_D0/ PMBUSA_CTL/ I2CA_SDA</v>
      </c>
      <c r="E6" s="2" t="s">
        <v>210</v>
      </c>
      <c r="F6" s="2" t="s">
        <v>229</v>
      </c>
      <c r="G6" s="2" t="s">
        <v>254</v>
      </c>
    </row>
    <row r="7" spans="2:7" ht="25.5">
      <c r="B7" s="2">
        <v>6</v>
      </c>
      <c r="C7" s="2">
        <f ca="1">IFERROR(OFFSET(Assign!$B$210,MATCH($B7,Assign!$F$210:$F$249,0)-1,0),"")</f>
        <v>90</v>
      </c>
      <c r="D7" s="18" t="str">
        <f ca="1">IFERROR(OFFSET(Assign!$C$210,MATCH($B7,Assign!$F$210:$F$249,0)-1,0),"")</f>
        <v>GPIO9/ EPWM5_B/ SCIB_TX/ OUTPUTXBAR6/ EQEP1_INDEX/ SCIA_RX/ SPIA_CLK/ FSITXA_D0</v>
      </c>
      <c r="E7" s="2" t="s">
        <v>211</v>
      </c>
      <c r="F7" s="2" t="s">
        <v>229</v>
      </c>
      <c r="G7" s="2" t="s">
        <v>255</v>
      </c>
    </row>
    <row r="8" spans="2:7">
      <c r="B8" s="2">
        <v>7</v>
      </c>
      <c r="C8" s="2">
        <f ca="1">IFERROR(OFFSET(Assign!$B$210,MATCH($B8,Assign!$F$210:$F$249,0)-1,0),"")</f>
        <v>91</v>
      </c>
      <c r="D8" s="18" t="str">
        <f ca="1">IFERROR(OFFSET(Assign!$C$210,MATCH($B8,Assign!$F$210:$F$249,0)-1,0),"")</f>
        <v>GPIO39/ CANB_RX/ FSIRXA_CLK</v>
      </c>
      <c r="E8" s="2" t="s">
        <v>212</v>
      </c>
      <c r="F8" s="2" t="s">
        <v>229</v>
      </c>
      <c r="G8" s="2" t="s">
        <v>255</v>
      </c>
    </row>
    <row r="9" spans="2:7" ht="25.5">
      <c r="B9" s="2">
        <v>8</v>
      </c>
      <c r="C9" s="2">
        <f ca="1">IFERROR(OFFSET(Assign!$B$210,MATCH($B9,Assign!$F$210:$F$249,0)-1,0),"")</f>
        <v>92</v>
      </c>
      <c r="D9" s="18" t="str">
        <f ca="1">IFERROR(OFFSET(Assign!$C$210,MATCH($B9,Assign!$F$210:$F$249,0)-1,0),"")</f>
        <v>GPIO59/ OUTPUTXBAR2/ SPIB_STE/ SD1_C4/ LINA_RX/ CANB_RX/ EQEP1_INDEX</v>
      </c>
      <c r="E9" s="2" t="s">
        <v>213</v>
      </c>
      <c r="F9" s="2" t="s">
        <v>229</v>
      </c>
      <c r="G9" s="2" t="s">
        <v>255</v>
      </c>
    </row>
    <row r="10" spans="2:7">
      <c r="B10" s="2">
        <v>9</v>
      </c>
      <c r="C10" s="2">
        <f ca="1">IFERROR(OFFSET(Assign!$B$210,MATCH($B10,Assign!$F$210:$F$249,0)-1,0),"")</f>
        <v>94</v>
      </c>
      <c r="D10" s="18" t="str">
        <f ca="1">IFERROR(OFFSET(Assign!$C$210,MATCH($B10,Assign!$F$210:$F$249,0)-1,0),"")</f>
        <v>GPIO34/ OUTPUTXBAR1/ PMBUSA_SDA</v>
      </c>
      <c r="E10" s="2" t="s">
        <v>214</v>
      </c>
      <c r="F10" s="2" t="s">
        <v>229</v>
      </c>
      <c r="G10" s="2" t="s">
        <v>255</v>
      </c>
    </row>
    <row r="11" spans="2:7" ht="25.5">
      <c r="B11" s="2">
        <v>10</v>
      </c>
      <c r="C11" s="2">
        <f ca="1">IFERROR(OFFSET(Assign!$B$210,MATCH($B11,Assign!$F$210:$F$249,0)-1,0),"")</f>
        <v>95</v>
      </c>
      <c r="D11" s="18" t="str">
        <f ca="1">IFERROR(OFFSET(Assign!$C$210,MATCH($B11,Assign!$F$210:$F$249,0)-1,0),"")</f>
        <v>GPIO15/ EPWM8_B/ SCIB_RX/ OUTPUTXBAR4/ PMBUSA_SCL/ SPIB_STE/ EQEP2_B</v>
      </c>
      <c r="E11" s="32" t="s">
        <v>271</v>
      </c>
      <c r="F11" s="32" t="s">
        <v>226</v>
      </c>
      <c r="G11" s="32" t="s">
        <v>246</v>
      </c>
    </row>
    <row r="12" spans="2:7" ht="25.5">
      <c r="B12" s="2">
        <v>11</v>
      </c>
      <c r="C12" s="2">
        <f ca="1">IFERROR(OFFSET(Assign!$B$210,MATCH($B12,Assign!$F$210:$F$249,0)-1,0),"")</f>
        <v>96</v>
      </c>
      <c r="D12" s="18" t="str">
        <f ca="1">IFERROR(OFFSET(Assign!$C$210,MATCH($B12,Assign!$F$210:$F$249,0)-1,0),"")</f>
        <v>GPIO14/ EPWM8_A/ SCIB_TX/ OUTPUTXBAR3/ PMBUSA_SDA/ SPIB_CLK/ EQEP2_A</v>
      </c>
      <c r="E12" s="32" t="s">
        <v>272</v>
      </c>
      <c r="F12" s="32" t="s">
        <v>226</v>
      </c>
      <c r="G12" s="32" t="s">
        <v>247</v>
      </c>
    </row>
    <row r="13" spans="2:7" ht="25.5">
      <c r="B13" s="2">
        <v>12</v>
      </c>
      <c r="C13" s="2">
        <f ca="1">IFERROR(OFFSET(Assign!$B$210,MATCH($B13,Assign!$F$210:$F$249,0)-1,0),"")</f>
        <v>99</v>
      </c>
      <c r="D13" s="18" t="str">
        <f ca="1">IFERROR(OFFSET(Assign!$C$210,MATCH($B13,Assign!$F$210:$F$249,0)-1,0),"")</f>
        <v>GPIO31/ CANA_TX/ SPIB_SOMI/ OUTPUTXBAR8/ EQEP1_INDEX/ SD1_C4/ FSIRXA_D1</v>
      </c>
      <c r="E13" s="2" t="s">
        <v>215</v>
      </c>
      <c r="F13" s="2" t="s">
        <v>229</v>
      </c>
      <c r="G13" s="2" t="s">
        <v>256</v>
      </c>
    </row>
    <row r="14" spans="2:7">
      <c r="B14" s="2">
        <v>13</v>
      </c>
      <c r="C14" s="2" t="str">
        <f ca="1">IFERROR(OFFSET(Assign!$B$210,MATCH($B14,Assign!$F$210:$F$249,0)-1,0),"")</f>
        <v/>
      </c>
      <c r="D14" s="18" t="str">
        <f ca="1">IFERROR(OFFSET(Assign!$C$210,MATCH($B14,Assign!$F$210:$F$249,0)-1,0),"")</f>
        <v/>
      </c>
    </row>
    <row r="15" spans="2:7">
      <c r="B15" s="2">
        <v>14</v>
      </c>
      <c r="C15" s="2" t="str">
        <f ca="1">IFERROR(OFFSET(Assign!$B$210,MATCH($B15,Assign!$F$210:$F$249,0)-1,0),"")</f>
        <v/>
      </c>
      <c r="D15" s="18" t="str">
        <f ca="1">IFERROR(OFFSET(Assign!$C$210,MATCH($B15,Assign!$F$210:$F$249,0)-1,0),"")</f>
        <v/>
      </c>
    </row>
    <row r="16" spans="2:7">
      <c r="B16" s="2">
        <v>15</v>
      </c>
      <c r="C16" s="2" t="str">
        <f ca="1">IFERROR(OFFSET(Assign!$B$210,MATCH($B16,Assign!$F$210:$F$249,0)-1,0),"")</f>
        <v/>
      </c>
      <c r="D16" s="18" t="str">
        <f ca="1">IFERROR(OFFSET(Assign!$C$210,MATCH($B16,Assign!$F$210:$F$249,0)-1,0),"")</f>
        <v/>
      </c>
    </row>
    <row r="17" spans="2:4">
      <c r="B17" s="2">
        <v>16</v>
      </c>
      <c r="C17" s="2" t="str">
        <f ca="1">IFERROR(OFFSET(Assign!$B$210,MATCH($B17,Assign!$F$210:$F$249,0)-1,0),"")</f>
        <v/>
      </c>
      <c r="D17" s="18" t="str">
        <f ca="1">IFERROR(OFFSET(Assign!$C$210,MATCH($B17,Assign!$F$210:$F$249,0)-1,0),"")</f>
        <v/>
      </c>
    </row>
    <row r="18" spans="2:4">
      <c r="B18" s="2">
        <v>17</v>
      </c>
      <c r="C18" s="2" t="str">
        <f ca="1">IFERROR(OFFSET(Assign!$B$210,MATCH($B18,Assign!$F$210:$F$249,0)-1,0),"")</f>
        <v/>
      </c>
      <c r="D18" s="18" t="str">
        <f ca="1">IFERROR(OFFSET(Assign!$C$210,MATCH($B18,Assign!$F$210:$F$249,0)-1,0),"")</f>
        <v/>
      </c>
    </row>
    <row r="19" spans="2:4">
      <c r="B19" s="2">
        <v>18</v>
      </c>
      <c r="C19" s="2" t="str">
        <f ca="1">IFERROR(OFFSET(Assign!$B$210,MATCH($B19,Assign!$F$210:$F$249,0)-1,0),"")</f>
        <v/>
      </c>
      <c r="D19" s="18" t="str">
        <f ca="1">IFERROR(OFFSET(Assign!$C$210,MATCH($B19,Assign!$F$210:$F$249,0)-1,0),"")</f>
        <v/>
      </c>
    </row>
    <row r="20" spans="2:4">
      <c r="B20" s="2">
        <v>19</v>
      </c>
      <c r="C20" s="2" t="str">
        <f ca="1">IFERROR(OFFSET(Assign!$B$210,MATCH($B20,Assign!$F$210:$F$249,0)-1,0),"")</f>
        <v/>
      </c>
      <c r="D20" s="18" t="str">
        <f ca="1">IFERROR(OFFSET(Assign!$C$210,MATCH($B20,Assign!$F$210:$F$249,0)-1,0),"")</f>
        <v/>
      </c>
    </row>
    <row r="21" spans="2:4">
      <c r="B21" s="2">
        <v>20</v>
      </c>
      <c r="C21" s="2" t="str">
        <f ca="1">IFERROR(OFFSET(Assign!$B$210,MATCH($B21,Assign!$F$210:$F$249,0)-1,0),"")</f>
        <v/>
      </c>
      <c r="D21" s="18" t="str">
        <f ca="1">IFERROR(OFFSET(Assign!$C$210,MATCH($B21,Assign!$F$210:$F$249,0)-1,0),"")</f>
        <v/>
      </c>
    </row>
    <row r="22" spans="2:4">
      <c r="B22" s="2">
        <v>21</v>
      </c>
      <c r="C22" s="2" t="str">
        <f ca="1">IFERROR(OFFSET(Assign!$B$210,MATCH($B22,Assign!$F$210:$F$249,0)-1,0),"")</f>
        <v/>
      </c>
      <c r="D22" s="18" t="str">
        <f ca="1">IFERROR(OFFSET(Assign!$C$210,MATCH($B22,Assign!$F$210:$F$249,0)-1,0),"")</f>
        <v/>
      </c>
    </row>
    <row r="23" spans="2:4">
      <c r="B23" s="2">
        <v>22</v>
      </c>
      <c r="C23" s="2" t="str">
        <f ca="1">IFERROR(OFFSET(Assign!$B$210,MATCH($B23,Assign!$F$210:$F$249,0)-1,0),"")</f>
        <v/>
      </c>
      <c r="D23" s="18" t="str">
        <f ca="1">IFERROR(OFFSET(Assign!$C$210,MATCH($B23,Assign!$F$210:$F$249,0)-1,0),"")</f>
        <v/>
      </c>
    </row>
    <row r="24" spans="2:4">
      <c r="B24" s="2">
        <v>23</v>
      </c>
      <c r="C24" s="2" t="str">
        <f ca="1">IFERROR(OFFSET(Assign!$B$210,MATCH($B24,Assign!$F$210:$F$249,0)-1,0),"")</f>
        <v/>
      </c>
      <c r="D24" s="18" t="str">
        <f ca="1">IFERROR(OFFSET(Assign!$C$210,MATCH($B24,Assign!$F$210:$F$249,0)-1,0),"")</f>
        <v/>
      </c>
    </row>
    <row r="25" spans="2:4">
      <c r="B25" s="2">
        <v>24</v>
      </c>
      <c r="C25" s="2" t="str">
        <f ca="1">IFERROR(OFFSET(Assign!$B$210,MATCH($B25,Assign!$F$210:$F$249,0)-1,0),"")</f>
        <v/>
      </c>
      <c r="D25" s="18" t="str">
        <f ca="1">IFERROR(OFFSET(Assign!$C$210,MATCH($B25,Assign!$F$210:$F$249,0)-1,0),"")</f>
        <v/>
      </c>
    </row>
    <row r="26" spans="2:4">
      <c r="B26" s="2">
        <v>25</v>
      </c>
      <c r="C26" s="2" t="str">
        <f ca="1">IFERROR(OFFSET(Assign!$B$210,MATCH($B26,Assign!$F$210:$F$249,0)-1,0),"")</f>
        <v/>
      </c>
      <c r="D26" s="18" t="str">
        <f ca="1">IFERROR(OFFSET(Assign!$C$210,MATCH($B26,Assign!$F$210:$F$249,0)-1,0),"")</f>
        <v/>
      </c>
    </row>
    <row r="27" spans="2:4">
      <c r="B27" s="2">
        <v>26</v>
      </c>
      <c r="C27" s="2" t="str">
        <f ca="1">IFERROR(OFFSET(Assign!$B$210,MATCH($B27,Assign!$F$210:$F$249,0)-1,0),"")</f>
        <v/>
      </c>
      <c r="D27" s="18" t="str">
        <f ca="1">IFERROR(OFFSET(Assign!$C$210,MATCH($B27,Assign!$F$210:$F$249,0)-1,0),"")</f>
        <v/>
      </c>
    </row>
    <row r="28" spans="2:4">
      <c r="B28" s="2">
        <v>27</v>
      </c>
      <c r="C28" s="2" t="str">
        <f ca="1">IFERROR(OFFSET(Assign!$B$210,MATCH($B28,Assign!$F$210:$F$249,0)-1,0),"")</f>
        <v/>
      </c>
      <c r="D28" s="18" t="str">
        <f ca="1">IFERROR(OFFSET(Assign!$C$210,MATCH($B28,Assign!$F$210:$F$249,0)-1,0),"")</f>
        <v/>
      </c>
    </row>
    <row r="29" spans="2:4">
      <c r="B29" s="2">
        <v>28</v>
      </c>
      <c r="C29" s="2" t="str">
        <f ca="1">IFERROR(OFFSET(Assign!$B$210,MATCH($B29,Assign!$F$210:$F$249,0)-1,0),"")</f>
        <v/>
      </c>
      <c r="D29" s="18" t="str">
        <f ca="1">IFERROR(OFFSET(Assign!$C$210,MATCH($B29,Assign!$F$210:$F$249,0)-1,0),"")</f>
        <v/>
      </c>
    </row>
    <row r="30" spans="2:4">
      <c r="B30" s="2">
        <v>29</v>
      </c>
      <c r="C30" s="2" t="str">
        <f ca="1">IFERROR(OFFSET(Assign!$B$210,MATCH($B30,Assign!$F$210:$F$249,0)-1,0),"")</f>
        <v/>
      </c>
      <c r="D30" s="18" t="str">
        <f ca="1">IFERROR(OFFSET(Assign!$C$210,MATCH($B30,Assign!$F$210:$F$249,0)-1,0),"")</f>
        <v/>
      </c>
    </row>
    <row r="31" spans="2:4">
      <c r="B31" s="2">
        <v>30</v>
      </c>
      <c r="C31" s="2" t="str">
        <f ca="1">IFERROR(OFFSET(Assign!$B$210,MATCH($B31,Assign!$F$210:$F$249,0)-1,0),"")</f>
        <v/>
      </c>
      <c r="D31" s="18" t="str">
        <f ca="1">IFERROR(OFFSET(Assign!$C$210,MATCH($B31,Assign!$F$210:$F$249,0)-1,0),"")</f>
        <v/>
      </c>
    </row>
    <row r="32" spans="2:4">
      <c r="B32" s="2">
        <v>31</v>
      </c>
      <c r="C32" s="2" t="str">
        <f ca="1">IFERROR(OFFSET(Assign!$B$210,MATCH($B32,Assign!$F$210:$F$249,0)-1,0),"")</f>
        <v/>
      </c>
      <c r="D32" s="18" t="str">
        <f ca="1">IFERROR(OFFSET(Assign!$C$210,MATCH($B32,Assign!$F$210:$F$249,0)-1,0),"")</f>
        <v/>
      </c>
    </row>
    <row r="33" spans="2:4">
      <c r="B33" s="2">
        <v>32</v>
      </c>
      <c r="C33" s="2" t="str">
        <f ca="1">IFERROR(OFFSET(Assign!$B$210,MATCH($B33,Assign!$F$210:$F$249,0)-1,0),"")</f>
        <v/>
      </c>
      <c r="D33" s="18" t="str">
        <f ca="1">IFERROR(OFFSET(Assign!$C$210,MATCH($B33,Assign!$F$210:$F$249,0)-1,0),"")</f>
        <v/>
      </c>
    </row>
    <row r="34" spans="2:4">
      <c r="B34" s="2">
        <v>33</v>
      </c>
      <c r="C34" s="2" t="str">
        <f ca="1">IFERROR(OFFSET(Assign!$B$210,MATCH($B34,Assign!$F$210:$F$249,0)-1,0),"")</f>
        <v/>
      </c>
      <c r="D34" s="18" t="str">
        <f ca="1">IFERROR(OFFSET(Assign!$C$210,MATCH($B34,Assign!$F$210:$F$249,0)-1,0),"")</f>
        <v/>
      </c>
    </row>
    <row r="35" spans="2:4">
      <c r="B35" s="2">
        <v>34</v>
      </c>
      <c r="C35" s="2" t="str">
        <f ca="1">IFERROR(OFFSET(Assign!$B$210,MATCH($B35,Assign!$F$210:$F$249,0)-1,0),"")</f>
        <v/>
      </c>
      <c r="D35" s="18" t="str">
        <f ca="1">IFERROR(OFFSET(Assign!$C$210,MATCH($B35,Assign!$F$210:$F$249,0)-1,0),"")</f>
        <v/>
      </c>
    </row>
    <row r="36" spans="2:4">
      <c r="B36" s="2">
        <v>35</v>
      </c>
      <c r="C36" s="2" t="str">
        <f ca="1">IFERROR(OFFSET(Assign!$B$210,MATCH($B36,Assign!$F$210:$F$249,0)-1,0),"")</f>
        <v/>
      </c>
      <c r="D36" s="18" t="str">
        <f ca="1">IFERROR(OFFSET(Assign!$C$210,MATCH($B36,Assign!$F$210:$F$249,0)-1,0),"")</f>
        <v/>
      </c>
    </row>
    <row r="37" spans="2:4">
      <c r="B37" s="2">
        <v>36</v>
      </c>
      <c r="C37" s="2" t="str">
        <f ca="1">IFERROR(OFFSET(Assign!$B$210,MATCH($B37,Assign!$F$210:$F$249,0)-1,0),"")</f>
        <v/>
      </c>
      <c r="D37" s="18" t="str">
        <f ca="1">IFERROR(OFFSET(Assign!$C$210,MATCH($B37,Assign!$F$210:$F$249,0)-1,0),"")</f>
        <v/>
      </c>
    </row>
    <row r="38" spans="2:4">
      <c r="B38" s="2">
        <v>37</v>
      </c>
      <c r="C38" s="2" t="str">
        <f ca="1">IFERROR(OFFSET(Assign!$B$210,MATCH($B38,Assign!$F$210:$F$249,0)-1,0),"")</f>
        <v/>
      </c>
      <c r="D38" s="18" t="str">
        <f ca="1">IFERROR(OFFSET(Assign!$C$210,MATCH($B38,Assign!$F$210:$F$249,0)-1,0),"")</f>
        <v/>
      </c>
    </row>
    <row r="39" spans="2:4">
      <c r="B39" s="2">
        <v>38</v>
      </c>
      <c r="C39" s="2" t="str">
        <f ca="1">IFERROR(OFFSET(Assign!$B$210,MATCH($B39,Assign!$F$210:$F$249,0)-1,0),"")</f>
        <v/>
      </c>
      <c r="D39" s="18" t="str">
        <f ca="1">IFERROR(OFFSET(Assign!$C$210,MATCH($B39,Assign!$F$210:$F$249,0)-1,0),"")</f>
        <v/>
      </c>
    </row>
    <row r="40" spans="2:4">
      <c r="B40" s="2">
        <v>39</v>
      </c>
      <c r="C40" s="2" t="str">
        <f ca="1">IFERROR(OFFSET(Assign!$B$210,MATCH($B40,Assign!$F$210:$F$249,0)-1,0),"")</f>
        <v/>
      </c>
      <c r="D40" s="18" t="str">
        <f ca="1">IFERROR(OFFSET(Assign!$C$210,MATCH($B40,Assign!$F$210:$F$249,0)-1,0),"")</f>
        <v/>
      </c>
    </row>
    <row r="41" spans="2:4">
      <c r="B41" s="2">
        <v>40</v>
      </c>
      <c r="C41" s="2" t="str">
        <f ca="1">IFERROR(OFFSET(Assign!$B$210,MATCH($B41,Assign!$F$210:$F$249,0)-1,0),"")</f>
        <v/>
      </c>
      <c r="D41" s="18" t="str">
        <f ca="1">IFERROR(OFFSET(Assign!$C$210,MATCH($B41,Assign!$F$210:$F$249,0)-1,0),"")</f>
        <v/>
      </c>
    </row>
    <row r="42" spans="2:4">
      <c r="B42" s="2">
        <v>41</v>
      </c>
      <c r="C42" s="2" t="str">
        <f ca="1">IFERROR(OFFSET(Assign!$B$210,MATCH($B42,Assign!$F$210:$F$249,0)-1,0),"")</f>
        <v/>
      </c>
      <c r="D42" s="18" t="str">
        <f ca="1">IFERROR(OFFSET(Assign!$C$210,MATCH($B42,Assign!$F$210:$F$249,0)-1,0),"")</f>
        <v/>
      </c>
    </row>
    <row r="43" spans="2:4">
      <c r="B43" s="2">
        <v>42</v>
      </c>
      <c r="C43" s="2" t="str">
        <f ca="1">IFERROR(OFFSET(Assign!$B$210,MATCH($B43,Assign!$F$210:$F$249,0)-1,0),"")</f>
        <v/>
      </c>
      <c r="D43" s="18" t="str">
        <f ca="1">IFERROR(OFFSET(Assign!$C$210,MATCH($B43,Assign!$F$210:$F$249,0)-1,0),"")</f>
        <v/>
      </c>
    </row>
    <row r="44" spans="2:4">
      <c r="B44" s="2">
        <v>43</v>
      </c>
      <c r="C44" s="2" t="str">
        <f ca="1">IFERROR(OFFSET(Assign!$B$210,MATCH($B44,Assign!$F$210:$F$249,0)-1,0),"")</f>
        <v/>
      </c>
      <c r="D44" s="18" t="str">
        <f ca="1">IFERROR(OFFSET(Assign!$C$210,MATCH($B44,Assign!$F$210:$F$249,0)-1,0),"")</f>
        <v/>
      </c>
    </row>
    <row r="45" spans="2:4">
      <c r="B45" s="2">
        <v>44</v>
      </c>
      <c r="C45" s="2" t="str">
        <f ca="1">IFERROR(OFFSET(Assign!$B$210,MATCH($B45,Assign!$F$210:$F$249,0)-1,0),"")</f>
        <v/>
      </c>
      <c r="D45" s="18" t="str">
        <f ca="1">IFERROR(OFFSET(Assign!$C$210,MATCH($B45,Assign!$F$210:$F$249,0)-1,0),"")</f>
        <v/>
      </c>
    </row>
    <row r="46" spans="2:4">
      <c r="B46" s="2">
        <v>45</v>
      </c>
      <c r="C46" s="2" t="str">
        <f ca="1">IFERROR(OFFSET(Assign!$B$210,MATCH($B46,Assign!$F$210:$F$249,0)-1,0),"")</f>
        <v/>
      </c>
      <c r="D46" s="18" t="str">
        <f ca="1">IFERROR(OFFSET(Assign!$C$210,MATCH($B46,Assign!$F$210:$F$249,0)-1,0),"")</f>
        <v/>
      </c>
    </row>
    <row r="47" spans="2:4">
      <c r="B47" s="2">
        <v>46</v>
      </c>
      <c r="C47" s="2" t="str">
        <f ca="1">IFERROR(OFFSET(Assign!$B$210,MATCH($B47,Assign!$F$210:$F$249,0)-1,0),"")</f>
        <v/>
      </c>
      <c r="D47" s="18" t="str">
        <f ca="1">IFERROR(OFFSET(Assign!$C$210,MATCH($B47,Assign!$F$210:$F$249,0)-1,0),"")</f>
        <v/>
      </c>
    </row>
    <row r="48" spans="2:4">
      <c r="B48" s="2">
        <v>47</v>
      </c>
      <c r="C48" s="2" t="str">
        <f ca="1">IFERROR(OFFSET(Assign!$B$210,MATCH($B48,Assign!$F$210:$F$249,0)-1,0),"")</f>
        <v/>
      </c>
      <c r="D48" s="18" t="str">
        <f ca="1">IFERROR(OFFSET(Assign!$C$210,MATCH($B48,Assign!$F$210:$F$249,0)-1,0),"")</f>
        <v/>
      </c>
    </row>
    <row r="49" spans="2:4">
      <c r="B49" s="2">
        <v>48</v>
      </c>
      <c r="C49" s="2" t="str">
        <f ca="1">IFERROR(OFFSET(Assign!$B$210,MATCH($B49,Assign!$F$210:$F$249,0)-1,0),"")</f>
        <v/>
      </c>
      <c r="D49" s="18" t="str">
        <f ca="1">IFERROR(OFFSET(Assign!$C$210,MATCH($B49,Assign!$F$210:$F$249,0)-1,0),"")</f>
        <v/>
      </c>
    </row>
    <row r="50" spans="2:4">
      <c r="B50" s="2">
        <v>49</v>
      </c>
      <c r="C50" s="2" t="str">
        <f ca="1">IFERROR(OFFSET(Assign!$B$210,MATCH($B50,Assign!$F$210:$F$249,0)-1,0),"")</f>
        <v/>
      </c>
      <c r="D50" s="18" t="str">
        <f ca="1">IFERROR(OFFSET(Assign!$C$210,MATCH($B50,Assign!$F$210:$F$249,0)-1,0),"")</f>
        <v/>
      </c>
    </row>
    <row r="51" spans="2:4">
      <c r="B51" s="2">
        <v>50</v>
      </c>
      <c r="C51" s="2" t="str">
        <f ca="1">IFERROR(OFFSET(Assign!$B$210,MATCH($B51,Assign!$F$210:$F$249,0)-1,0),"")</f>
        <v/>
      </c>
      <c r="D51" s="18" t="str">
        <f ca="1">IFERROR(OFFSET(Assign!$C$210,MATCH($B51,Assign!$F$210:$F$249,0)-1,0),"")</f>
        <v/>
      </c>
    </row>
    <row r="52" spans="2:4">
      <c r="B52" s="2">
        <v>51</v>
      </c>
      <c r="C52" s="2" t="str">
        <f ca="1">IFERROR(OFFSET(Assign!$B$210,MATCH($B52,Assign!$F$210:$F$249,0)-1,0),"")</f>
        <v/>
      </c>
      <c r="D52" s="18" t="str">
        <f ca="1">IFERROR(OFFSET(Assign!$C$210,MATCH($B52,Assign!$F$210:$F$249,0)-1,0),"")</f>
        <v/>
      </c>
    </row>
    <row r="53" spans="2:4">
      <c r="B53" s="2">
        <v>52</v>
      </c>
      <c r="C53" s="2" t="str">
        <f ca="1">IFERROR(OFFSET(Assign!$B$210,MATCH($B53,Assign!$F$210:$F$249,0)-1,0),"")</f>
        <v/>
      </c>
      <c r="D53" s="18" t="str">
        <f ca="1">IFERROR(OFFSET(Assign!$C$210,MATCH($B53,Assign!$F$210:$F$249,0)-1,0),"")</f>
        <v/>
      </c>
    </row>
    <row r="54" spans="2:4">
      <c r="B54" s="2">
        <v>53</v>
      </c>
      <c r="C54" s="2" t="str">
        <f ca="1">IFERROR(OFFSET(Assign!$B$210,MATCH($B54,Assign!$F$210:$F$249,0)-1,0),"")</f>
        <v/>
      </c>
      <c r="D54" s="18" t="str">
        <f ca="1">IFERROR(OFFSET(Assign!$C$210,MATCH($B54,Assign!$F$210:$F$249,0)-1,0),"")</f>
        <v/>
      </c>
    </row>
    <row r="55" spans="2:4">
      <c r="B55" s="2">
        <v>54</v>
      </c>
      <c r="C55" s="2" t="str">
        <f ca="1">IFERROR(OFFSET(Assign!$B$210,MATCH($B55,Assign!$F$210:$F$249,0)-1,0),"")</f>
        <v/>
      </c>
      <c r="D55" s="18" t="str">
        <f ca="1">IFERROR(OFFSET(Assign!$C$210,MATCH($B55,Assign!$F$210:$F$249,0)-1,0),"")</f>
        <v/>
      </c>
    </row>
    <row r="56" spans="2:4">
      <c r="B56" s="2">
        <v>55</v>
      </c>
      <c r="C56" s="2" t="str">
        <f ca="1">IFERROR(OFFSET(Assign!$B$210,MATCH($B56,Assign!$F$210:$F$249,0)-1,0),"")</f>
        <v/>
      </c>
      <c r="D56" s="18" t="str">
        <f ca="1">IFERROR(OFFSET(Assign!$C$210,MATCH($B56,Assign!$F$210:$F$249,0)-1,0),"")</f>
        <v/>
      </c>
    </row>
    <row r="57" spans="2:4">
      <c r="B57" s="2">
        <v>56</v>
      </c>
      <c r="C57" s="2" t="str">
        <f ca="1">IFERROR(OFFSET(Assign!$B$210,MATCH($B57,Assign!$F$210:$F$249,0)-1,0),"")</f>
        <v/>
      </c>
      <c r="D57" s="18" t="str">
        <f ca="1">IFERROR(OFFSET(Assign!$C$210,MATCH($B57,Assign!$F$210:$F$249,0)-1,0),"")</f>
        <v/>
      </c>
    </row>
    <row r="58" spans="2:4">
      <c r="B58" s="2">
        <v>57</v>
      </c>
      <c r="C58" s="2" t="str">
        <f ca="1">IFERROR(OFFSET(Assign!$B$210,MATCH($B58,Assign!$F$210:$F$249,0)-1,0),"")</f>
        <v/>
      </c>
      <c r="D58" s="18" t="str">
        <f ca="1">IFERROR(OFFSET(Assign!$C$210,MATCH($B58,Assign!$F$210:$F$249,0)-1,0),"")</f>
        <v/>
      </c>
    </row>
    <row r="59" spans="2:4">
      <c r="B59" s="2">
        <v>58</v>
      </c>
      <c r="C59" s="2" t="str">
        <f ca="1">IFERROR(OFFSET(Assign!$B$210,MATCH($B59,Assign!$F$210:$F$249,0)-1,0),"")</f>
        <v/>
      </c>
      <c r="D59" s="18" t="str">
        <f ca="1">IFERROR(OFFSET(Assign!$C$210,MATCH($B59,Assign!$F$210:$F$249,0)-1,0),"")</f>
        <v/>
      </c>
    </row>
    <row r="60" spans="2:4">
      <c r="B60" s="2">
        <v>59</v>
      </c>
      <c r="C60" s="2" t="str">
        <f ca="1">IFERROR(OFFSET(Assign!$B$210,MATCH($B60,Assign!$F$210:$F$249,0)-1,0),"")</f>
        <v/>
      </c>
      <c r="D60" s="18" t="str">
        <f ca="1">IFERROR(OFFSET(Assign!$C$210,MATCH($B60,Assign!$F$210:$F$249,0)-1,0),"")</f>
        <v/>
      </c>
    </row>
    <row r="61" spans="2:4">
      <c r="B61" s="2">
        <v>60</v>
      </c>
      <c r="C61" s="2" t="str">
        <f ca="1">IFERROR(OFFSET(Assign!$B$210,MATCH($B61,Assign!$F$210:$F$249,0)-1,0),"")</f>
        <v/>
      </c>
      <c r="D61" s="18" t="str">
        <f ca="1">IFERROR(OFFSET(Assign!$C$210,MATCH($B61,Assign!$F$210:$F$249,0)-1,0),"")</f>
        <v/>
      </c>
    </row>
    <row r="62" spans="2:4">
      <c r="B62" s="2">
        <v>61</v>
      </c>
      <c r="C62" s="2" t="str">
        <f ca="1">IFERROR(OFFSET(Assign!$B$210,MATCH($B62,Assign!$F$210:$F$249,0)-1,0),"")</f>
        <v/>
      </c>
      <c r="D62" s="18" t="str">
        <f ca="1">IFERROR(OFFSET(Assign!$C$210,MATCH($B62,Assign!$F$210:$F$249,0)-1,0),"")</f>
        <v/>
      </c>
    </row>
    <row r="63" spans="2:4">
      <c r="B63" s="2">
        <v>62</v>
      </c>
      <c r="C63" s="2" t="str">
        <f ca="1">IFERROR(OFFSET(Assign!$B$210,MATCH($B63,Assign!$F$210:$F$249,0)-1,0),"")</f>
        <v/>
      </c>
      <c r="D63" s="18" t="str">
        <f ca="1">IFERROR(OFFSET(Assign!$C$210,MATCH($B63,Assign!$F$210:$F$249,0)-1,0),"")</f>
        <v/>
      </c>
    </row>
    <row r="64" spans="2:4">
      <c r="B64" s="2">
        <v>63</v>
      </c>
      <c r="C64" s="2" t="str">
        <f ca="1">IFERROR(OFFSET(Assign!$B$210,MATCH($B64,Assign!$F$210:$F$249,0)-1,0),"")</f>
        <v/>
      </c>
      <c r="D64" s="18" t="str">
        <f ca="1">IFERROR(OFFSET(Assign!$C$210,MATCH($B64,Assign!$F$210:$F$249,0)-1,0),"")</f>
        <v/>
      </c>
    </row>
    <row r="65" spans="2:4">
      <c r="B65" s="2">
        <v>64</v>
      </c>
      <c r="C65" s="2" t="str">
        <f ca="1">IFERROR(OFFSET(Assign!$B$210,MATCH($B65,Assign!$F$210:$F$249,0)-1,0),"")</f>
        <v/>
      </c>
      <c r="D65" s="18" t="str">
        <f ca="1">IFERROR(OFFSET(Assign!$C$210,MATCH($B65,Assign!$F$210:$F$249,0)-1,0),"")</f>
        <v/>
      </c>
    </row>
    <row r="66" spans="2:4">
      <c r="B66" s="2">
        <v>65</v>
      </c>
      <c r="C66" s="2" t="str">
        <f ca="1">IFERROR(OFFSET(Assign!$B$210,MATCH($B66,Assign!$F$210:$F$249,0)-1,0),"")</f>
        <v/>
      </c>
      <c r="D66" s="18" t="str">
        <f ca="1">IFERROR(OFFSET(Assign!$C$210,MATCH($B66,Assign!$F$210:$F$249,0)-1,0),"")</f>
        <v/>
      </c>
    </row>
    <row r="67" spans="2:4">
      <c r="B67" s="2">
        <v>66</v>
      </c>
      <c r="C67" s="2" t="str">
        <f ca="1">IFERROR(OFFSET(Assign!$B$210,MATCH($B67,Assign!$F$210:$F$249,0)-1,0),"")</f>
        <v/>
      </c>
      <c r="D67" s="18" t="str">
        <f ca="1">IFERROR(OFFSET(Assign!$C$210,MATCH($B67,Assign!$F$210:$F$249,0)-1,0),"")</f>
        <v/>
      </c>
    </row>
    <row r="68" spans="2:4">
      <c r="B68" s="2">
        <v>67</v>
      </c>
      <c r="C68" s="2" t="str">
        <f ca="1">IFERROR(OFFSET(Assign!$B$210,MATCH($B68,Assign!$F$210:$F$249,0)-1,0),"")</f>
        <v/>
      </c>
      <c r="D68" s="18" t="str">
        <f ca="1">IFERROR(OFFSET(Assign!$C$210,MATCH($B68,Assign!$F$210:$F$249,0)-1,0),"")</f>
        <v/>
      </c>
    </row>
    <row r="69" spans="2:4">
      <c r="B69" s="2">
        <v>68</v>
      </c>
      <c r="C69" s="2" t="str">
        <f ca="1">IFERROR(OFFSET(Assign!$B$210,MATCH($B69,Assign!$F$210:$F$249,0)-1,0),"")</f>
        <v/>
      </c>
      <c r="D69" s="18" t="str">
        <f ca="1">IFERROR(OFFSET(Assign!$C$210,MATCH($B69,Assign!$F$210:$F$249,0)-1,0),"")</f>
        <v/>
      </c>
    </row>
    <row r="70" spans="2:4">
      <c r="B70" s="2">
        <v>69</v>
      </c>
      <c r="C70" s="2" t="str">
        <f ca="1">IFERROR(OFFSET(Assign!$B$210,MATCH($B70,Assign!$F$210:$F$249,0)-1,0),"")</f>
        <v/>
      </c>
      <c r="D70" s="18" t="str">
        <f ca="1">IFERROR(OFFSET(Assign!$C$210,MATCH($B70,Assign!$F$210:$F$249,0)-1,0),"")</f>
        <v/>
      </c>
    </row>
    <row r="71" spans="2:4">
      <c r="B71" s="2">
        <v>70</v>
      </c>
      <c r="C71" s="2" t="str">
        <f ca="1">IFERROR(OFFSET(Assign!$B$210,MATCH($B71,Assign!$F$210:$F$249,0)-1,0),"")</f>
        <v/>
      </c>
      <c r="D71" s="18" t="str">
        <f ca="1">IFERROR(OFFSET(Assign!$C$210,MATCH($B71,Assign!$F$210:$F$249,0)-1,0),"")</f>
        <v/>
      </c>
    </row>
    <row r="72" spans="2:4">
      <c r="B72" s="2">
        <v>71</v>
      </c>
      <c r="C72" s="2" t="str">
        <f ca="1">IFERROR(OFFSET(Assign!$B$210,MATCH($B72,Assign!$F$210:$F$249,0)-1,0),"")</f>
        <v/>
      </c>
      <c r="D72" s="18" t="str">
        <f ca="1">IFERROR(OFFSET(Assign!$C$210,MATCH($B72,Assign!$F$210:$F$249,0)-1,0),"")</f>
        <v/>
      </c>
    </row>
    <row r="73" spans="2:4">
      <c r="B73" s="2">
        <v>72</v>
      </c>
      <c r="C73" s="2" t="str">
        <f ca="1">IFERROR(OFFSET(Assign!$B$210,MATCH($B73,Assign!$F$210:$F$249,0)-1,0),"")</f>
        <v/>
      </c>
      <c r="D73" s="18" t="str">
        <f ca="1">IFERROR(OFFSET(Assign!$C$210,MATCH($B73,Assign!$F$210:$F$249,0)-1,0),"")</f>
        <v/>
      </c>
    </row>
    <row r="74" spans="2:4">
      <c r="B74" s="2">
        <v>73</v>
      </c>
      <c r="C74" s="2" t="str">
        <f ca="1">IFERROR(OFFSET(Assign!$B$210,MATCH($B74,Assign!$F$210:$F$249,0)-1,0),"")</f>
        <v/>
      </c>
      <c r="D74" s="18" t="str">
        <f ca="1">IFERROR(OFFSET(Assign!$C$210,MATCH($B74,Assign!$F$210:$F$249,0)-1,0),"")</f>
        <v/>
      </c>
    </row>
    <row r="75" spans="2:4">
      <c r="B75" s="2">
        <v>74</v>
      </c>
      <c r="C75" s="2" t="str">
        <f ca="1">IFERROR(OFFSET(Assign!$B$210,MATCH($B75,Assign!$F$210:$F$249,0)-1,0),"")</f>
        <v/>
      </c>
      <c r="D75" s="18" t="str">
        <f ca="1">IFERROR(OFFSET(Assign!$C$210,MATCH($B75,Assign!$F$210:$F$249,0)-1,0),"")</f>
        <v/>
      </c>
    </row>
    <row r="76" spans="2:4">
      <c r="B76" s="2">
        <v>75</v>
      </c>
      <c r="C76" s="2" t="str">
        <f ca="1">IFERROR(OFFSET(Assign!$B$210,MATCH($B76,Assign!$F$210:$F$249,0)-1,0),"")</f>
        <v/>
      </c>
      <c r="D76" s="18" t="str">
        <f ca="1">IFERROR(OFFSET(Assign!$C$210,MATCH($B76,Assign!$F$210:$F$249,0)-1,0),"")</f>
        <v/>
      </c>
    </row>
    <row r="77" spans="2:4">
      <c r="B77" s="2">
        <v>76</v>
      </c>
      <c r="C77" s="2" t="str">
        <f ca="1">IFERROR(OFFSET(Assign!$B$210,MATCH($B77,Assign!$F$210:$F$249,0)-1,0),"")</f>
        <v/>
      </c>
      <c r="D77" s="18" t="str">
        <f ca="1">IFERROR(OFFSET(Assign!$C$210,MATCH($B77,Assign!$F$210:$F$249,0)-1,0),"")</f>
        <v/>
      </c>
    </row>
    <row r="78" spans="2:4">
      <c r="B78" s="2">
        <v>77</v>
      </c>
      <c r="C78" s="2" t="str">
        <f ca="1">IFERROR(OFFSET(Assign!$B$210,MATCH($B78,Assign!$F$210:$F$249,0)-1,0),"")</f>
        <v/>
      </c>
      <c r="D78" s="18" t="str">
        <f ca="1">IFERROR(OFFSET(Assign!$C$210,MATCH($B78,Assign!$F$210:$F$249,0)-1,0),"")</f>
        <v/>
      </c>
    </row>
    <row r="79" spans="2:4">
      <c r="B79" s="2">
        <v>78</v>
      </c>
      <c r="C79" s="2" t="str">
        <f ca="1">IFERROR(OFFSET(Assign!$B$210,MATCH($B79,Assign!$F$210:$F$249,0)-1,0),"")</f>
        <v/>
      </c>
      <c r="D79" s="18" t="str">
        <f ca="1">IFERROR(OFFSET(Assign!$C$210,MATCH($B79,Assign!$F$210:$F$249,0)-1,0),"")</f>
        <v/>
      </c>
    </row>
    <row r="80" spans="2:4">
      <c r="B80" s="2">
        <v>79</v>
      </c>
      <c r="C80" s="2" t="str">
        <f ca="1">IFERROR(OFFSET(Assign!$B$210,MATCH($B80,Assign!$F$210:$F$249,0)-1,0),"")</f>
        <v/>
      </c>
      <c r="D80" s="18" t="str">
        <f ca="1">IFERROR(OFFSET(Assign!$C$210,MATCH($B80,Assign!$F$210:$F$249,0)-1,0),"")</f>
        <v/>
      </c>
    </row>
    <row r="81" spans="2:4">
      <c r="B81" s="2">
        <v>80</v>
      </c>
      <c r="C81" s="2" t="str">
        <f ca="1">IFERROR(OFFSET(Assign!$B$210,MATCH($B81,Assign!$F$210:$F$249,0)-1,0),"")</f>
        <v/>
      </c>
      <c r="D81" s="18" t="str">
        <f ca="1">IFERROR(OFFSET(Assign!$C$210,MATCH($B81,Assign!$F$210:$F$249,0)-1,0),"")</f>
        <v/>
      </c>
    </row>
    <row r="82" spans="2:4">
      <c r="B82" s="2">
        <v>81</v>
      </c>
      <c r="C82" s="2" t="str">
        <f ca="1">IFERROR(OFFSET(Assign!$B$210,MATCH($B82,Assign!$F$210:$F$249,0)-1,0),"")</f>
        <v/>
      </c>
      <c r="D82" s="18" t="str">
        <f ca="1">IFERROR(OFFSET(Assign!$C$210,MATCH($B82,Assign!$F$210:$F$249,0)-1,0),"")</f>
        <v/>
      </c>
    </row>
    <row r="83" spans="2:4">
      <c r="B83" s="2">
        <v>82</v>
      </c>
      <c r="C83" s="2" t="str">
        <f ca="1">IFERROR(OFFSET(Assign!$B$210,MATCH($B83,Assign!$F$210:$F$249,0)-1,0),"")</f>
        <v/>
      </c>
      <c r="D83" s="18" t="str">
        <f ca="1">IFERROR(OFFSET(Assign!$C$210,MATCH($B83,Assign!$F$210:$F$249,0)-1,0),"")</f>
        <v/>
      </c>
    </row>
    <row r="84" spans="2:4">
      <c r="B84" s="2">
        <v>83</v>
      </c>
      <c r="C84" s="2" t="str">
        <f ca="1">IFERROR(OFFSET(Assign!$B$210,MATCH($B84,Assign!$F$210:$F$249,0)-1,0),"")</f>
        <v/>
      </c>
      <c r="D84" s="18" t="str">
        <f ca="1">IFERROR(OFFSET(Assign!$C$210,MATCH($B84,Assign!$F$210:$F$249,0)-1,0),"")</f>
        <v/>
      </c>
    </row>
    <row r="85" spans="2:4">
      <c r="B85" s="2">
        <v>84</v>
      </c>
      <c r="C85" s="2" t="str">
        <f ca="1">IFERROR(OFFSET(Assign!$B$210,MATCH($B85,Assign!$F$210:$F$249,0)-1,0),"")</f>
        <v/>
      </c>
      <c r="D85" s="18" t="str">
        <f ca="1">IFERROR(OFFSET(Assign!$C$210,MATCH($B85,Assign!$F$210:$F$249,0)-1,0),"")</f>
        <v/>
      </c>
    </row>
    <row r="86" spans="2:4">
      <c r="B86" s="2">
        <v>85</v>
      </c>
      <c r="C86" s="2" t="str">
        <f ca="1">IFERROR(OFFSET(Assign!$B$210,MATCH($B86,Assign!$F$210:$F$249,0)-1,0),"")</f>
        <v/>
      </c>
      <c r="D86" s="18" t="str">
        <f ca="1">IFERROR(OFFSET(Assign!$C$210,MATCH($B86,Assign!$F$210:$F$249,0)-1,0),"")</f>
        <v/>
      </c>
    </row>
    <row r="87" spans="2:4">
      <c r="B87" s="2">
        <v>86</v>
      </c>
      <c r="C87" s="2" t="str">
        <f ca="1">IFERROR(OFFSET(Assign!$B$210,MATCH($B87,Assign!$F$210:$F$249,0)-1,0),"")</f>
        <v/>
      </c>
      <c r="D87" s="18" t="str">
        <f ca="1">IFERROR(OFFSET(Assign!$C$210,MATCH($B87,Assign!$F$210:$F$249,0)-1,0),"")</f>
        <v/>
      </c>
    </row>
    <row r="88" spans="2:4">
      <c r="B88" s="2">
        <v>87</v>
      </c>
      <c r="C88" s="2" t="str">
        <f ca="1">IFERROR(OFFSET(Assign!$B$210,MATCH($B88,Assign!$F$210:$F$249,0)-1,0),"")</f>
        <v/>
      </c>
      <c r="D88" s="18" t="str">
        <f ca="1">IFERROR(OFFSET(Assign!$C$210,MATCH($B88,Assign!$F$210:$F$249,0)-1,0),"")</f>
        <v/>
      </c>
    </row>
    <row r="89" spans="2:4">
      <c r="B89" s="2">
        <v>88</v>
      </c>
      <c r="C89" s="2" t="str">
        <f ca="1">IFERROR(OFFSET(Assign!$B$210,MATCH($B89,Assign!$F$210:$F$249,0)-1,0),"")</f>
        <v/>
      </c>
      <c r="D89" s="18" t="str">
        <f ca="1">IFERROR(OFFSET(Assign!$C$210,MATCH($B89,Assign!$F$210:$F$249,0)-1,0),"")</f>
        <v/>
      </c>
    </row>
    <row r="90" spans="2:4">
      <c r="B90" s="2">
        <v>89</v>
      </c>
      <c r="C90" s="2" t="str">
        <f ca="1">IFERROR(OFFSET(Assign!$B$210,MATCH($B90,Assign!$F$210:$F$249,0)-1,0),"")</f>
        <v/>
      </c>
      <c r="D90" s="18" t="str">
        <f ca="1">IFERROR(OFFSET(Assign!$C$210,MATCH($B90,Assign!$F$210:$F$249,0)-1,0),"")</f>
        <v/>
      </c>
    </row>
    <row r="91" spans="2:4">
      <c r="B91" s="2">
        <v>90</v>
      </c>
      <c r="C91" s="2" t="str">
        <f ca="1">IFERROR(OFFSET(Assign!$B$210,MATCH($B91,Assign!$F$210:$F$249,0)-1,0),"")</f>
        <v/>
      </c>
      <c r="D91" s="18" t="str">
        <f ca="1">IFERROR(OFFSET(Assign!$C$210,MATCH($B91,Assign!$F$210:$F$249,0)-1,0),"")</f>
        <v/>
      </c>
    </row>
    <row r="92" spans="2:4">
      <c r="B92" s="2">
        <v>91</v>
      </c>
      <c r="C92" s="2" t="str">
        <f ca="1">IFERROR(OFFSET(Assign!$B$210,MATCH($B92,Assign!$F$210:$F$249,0)-1,0),"")</f>
        <v/>
      </c>
      <c r="D92" s="18" t="str">
        <f ca="1">IFERROR(OFFSET(Assign!$C$210,MATCH($B92,Assign!$F$210:$F$249,0)-1,0),"")</f>
        <v/>
      </c>
    </row>
    <row r="93" spans="2:4">
      <c r="B93" s="2">
        <v>92</v>
      </c>
      <c r="C93" s="2" t="str">
        <f ca="1">IFERROR(OFFSET(Assign!$B$210,MATCH($B93,Assign!$F$210:$F$249,0)-1,0),"")</f>
        <v/>
      </c>
      <c r="D93" s="18" t="str">
        <f ca="1">IFERROR(OFFSET(Assign!$C$210,MATCH($B93,Assign!$F$210:$F$249,0)-1,0),"")</f>
        <v/>
      </c>
    </row>
    <row r="94" spans="2:4">
      <c r="B94" s="2">
        <v>93</v>
      </c>
      <c r="C94" s="2" t="str">
        <f ca="1">IFERROR(OFFSET(Assign!$B$210,MATCH($B94,Assign!$F$210:$F$249,0)-1,0),"")</f>
        <v/>
      </c>
      <c r="D94" s="18" t="str">
        <f ca="1">IFERROR(OFFSET(Assign!$C$210,MATCH($B94,Assign!$F$210:$F$249,0)-1,0),"")</f>
        <v/>
      </c>
    </row>
    <row r="95" spans="2:4">
      <c r="B95" s="2">
        <v>94</v>
      </c>
      <c r="C95" s="2" t="str">
        <f ca="1">IFERROR(OFFSET(Assign!$B$210,MATCH($B95,Assign!$F$210:$F$249,0)-1,0),"")</f>
        <v/>
      </c>
      <c r="D95" s="18" t="str">
        <f ca="1">IFERROR(OFFSET(Assign!$C$210,MATCH($B95,Assign!$F$210:$F$249,0)-1,0),"")</f>
        <v/>
      </c>
    </row>
    <row r="96" spans="2:4">
      <c r="B96" s="2">
        <v>95</v>
      </c>
      <c r="C96" s="2" t="str">
        <f ca="1">IFERROR(OFFSET(Assign!$B$210,MATCH($B96,Assign!$F$210:$F$249,0)-1,0),"")</f>
        <v/>
      </c>
      <c r="D96" s="18" t="str">
        <f ca="1">IFERROR(OFFSET(Assign!$C$210,MATCH($B96,Assign!$F$210:$F$249,0)-1,0),"")</f>
        <v/>
      </c>
    </row>
    <row r="97" spans="2:4">
      <c r="B97" s="2">
        <v>96</v>
      </c>
      <c r="C97" s="2" t="str">
        <f ca="1">IFERROR(OFFSET(Assign!$B$210,MATCH($B97,Assign!$F$210:$F$249,0)-1,0),"")</f>
        <v/>
      </c>
      <c r="D97" s="18" t="str">
        <f ca="1">IFERROR(OFFSET(Assign!$C$210,MATCH($B97,Assign!$F$210:$F$249,0)-1,0),"")</f>
        <v/>
      </c>
    </row>
    <row r="98" spans="2:4">
      <c r="B98" s="2">
        <v>97</v>
      </c>
      <c r="C98" s="2" t="str">
        <f ca="1">IFERROR(OFFSET(Assign!$B$210,MATCH($B98,Assign!$F$210:$F$249,0)-1,0),"")</f>
        <v/>
      </c>
      <c r="D98" s="18" t="str">
        <f ca="1">IFERROR(OFFSET(Assign!$C$210,MATCH($B98,Assign!$F$210:$F$249,0)-1,0),"")</f>
        <v/>
      </c>
    </row>
    <row r="99" spans="2:4">
      <c r="B99" s="2">
        <v>98</v>
      </c>
      <c r="C99" s="2" t="str">
        <f ca="1">IFERROR(OFFSET(Assign!$B$210,MATCH($B99,Assign!$F$210:$F$249,0)-1,0),"")</f>
        <v/>
      </c>
      <c r="D99" s="18" t="str">
        <f ca="1">IFERROR(OFFSET(Assign!$C$210,MATCH($B99,Assign!$F$210:$F$249,0)-1,0),"")</f>
        <v/>
      </c>
    </row>
    <row r="100" spans="2:4">
      <c r="B100" s="2">
        <v>99</v>
      </c>
      <c r="C100" s="2" t="str">
        <f ca="1">IFERROR(OFFSET(Assign!$B$210,MATCH($B100,Assign!$F$210:$F$249,0)-1,0),"")</f>
        <v/>
      </c>
      <c r="D100" s="18" t="str">
        <f ca="1">IFERROR(OFFSET(Assign!$C$210,MATCH($B100,Assign!$F$210:$F$249,0)-1,0),"")</f>
        <v/>
      </c>
    </row>
    <row r="101" spans="2:4">
      <c r="B101" s="2">
        <v>100</v>
      </c>
      <c r="C101" s="2" t="str">
        <f ca="1">IFERROR(OFFSET(Assign!$B$210,MATCH($B101,Assign!$F$210:$F$249,0)-1,0),"")</f>
        <v/>
      </c>
      <c r="D101" s="18" t="str">
        <f ca="1">IFERROR(OFFSET(Assign!$C$210,MATCH($B101,Assign!$F$210:$F$249,0)-1,0),"")</f>
        <v/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已命名的範圍</vt:lpstr>
      </vt:variant>
      <vt:variant>
        <vt:i4>1</vt:i4>
      </vt:variant>
    </vt:vector>
  </HeadingPairs>
  <TitlesOfParts>
    <vt:vector size="15" baseType="lpstr">
      <vt:lpstr>Find Peripheral</vt:lpstr>
      <vt:lpstr>Summary</vt:lpstr>
      <vt:lpstr>Assign</vt:lpstr>
      <vt:lpstr>ADC</vt:lpstr>
      <vt:lpstr>COMP</vt:lpstr>
      <vt:lpstr>PGA</vt:lpstr>
      <vt:lpstr>DAC</vt:lpstr>
      <vt:lpstr>EPWM</vt:lpstr>
      <vt:lpstr>SCI</vt:lpstr>
      <vt:lpstr>I2C</vt:lpstr>
      <vt:lpstr>PMBUS</vt:lpstr>
      <vt:lpstr>CAN</vt:lpstr>
      <vt:lpstr>SPI</vt:lpstr>
      <vt:lpstr>GPIO</vt:lpstr>
      <vt:lpstr>Name</vt:lpstr>
    </vt:vector>
  </TitlesOfParts>
  <Company>DELTA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 Assignment</dc:title>
  <dc:creator>watch.lee</dc:creator>
  <cp:lastModifiedBy>watch.lee</cp:lastModifiedBy>
  <dcterms:created xsi:type="dcterms:W3CDTF">2018-11-27T00:55:29Z</dcterms:created>
  <dcterms:modified xsi:type="dcterms:W3CDTF">2018-12-20T03:17:59Z</dcterms:modified>
</cp:coreProperties>
</file>